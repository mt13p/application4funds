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Козак А.Є\Desktop\Ф. ЗАЯВКИ\"/>
    </mc:Choice>
  </mc:AlternateContent>
  <xr:revisionPtr revIDLastSave="0" documentId="8_{6FD25F0E-51E8-4C6A-91CB-C9E780C0833A}" xr6:coauthVersionLast="47" xr6:coauthVersionMax="47" xr10:uidLastSave="{00000000-0000-0000-0000-000000000000}"/>
  <workbookProtection workbookAlgorithmName="SHA-512" workbookHashValue="O9utaOSj86KuKCdFxaSIhv7Ik+5X1xXeD7ViZ3uEjWawZ+xiFlv8VsR/ipTVQYm/57vEKmtrtST3ho8iZumckQ==" workbookSaltValue="C5SRlHMf0vZkpmPgFWP1tQ==" workbookSpinCount="100000" lockStructure="1"/>
  <bookViews>
    <workbookView xWindow="-120" yWindow="-120" windowWidth="29040" windowHeight="15840" tabRatio="654" xr2:uid="{00000000-000D-0000-FFFF-FFFF00000000}"/>
  </bookViews>
  <sheets>
    <sheet name="Начало" sheetId="63" r:id="rId1"/>
    <sheet name="Заявка" sheetId="62" state="veryHidden" r:id="rId2"/>
  </sheets>
  <functionGroups builtInGroupCount="19"/>
  <definedNames>
    <definedName name="Anch_1" comment="Початок ТЧ Д.3" localSheetId="1">Заявка!$A$113</definedName>
    <definedName name="Anch_2" comment="Кінець ТЧ Д.3" localSheetId="1">Заявка!$A$119</definedName>
    <definedName name="Anch_3" comment="Початок ТЧ Д.4" localSheetId="1">Заявка!$A$139</definedName>
    <definedName name="Anch_4" comment="Кінець ТЧ Д.4" localSheetId="1">Заявка!$A$145</definedName>
    <definedName name="Dovidka_1st_row">Заявка!$A$168</definedName>
    <definedName name="ListVud_vutrat_2800_start">Заявка!$K$193</definedName>
    <definedName name="ListVudDoc_start">Заявка!$H$193</definedName>
    <definedName name="ListVZ_start">Заявка!$A$193</definedName>
    <definedName name="VerZayvka">Заявка!$AE$54</definedName>
    <definedName name="НазваЛиста" localSheetId="1">Заявка!$AF$3</definedName>
    <definedName name="_xlnm.Print_Area" localSheetId="1">Заявка!$A$1:$AE$151</definedName>
    <definedName name="_xlnm.Print_Area" localSheetId="0">Начало!$A$1:$K$9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F118" i="62" l="1"/>
  <c r="AF118" i="62"/>
  <c r="AB118" i="62"/>
  <c r="AC118" i="62" s="1"/>
  <c r="AB117" i="62"/>
  <c r="AB116" i="62"/>
  <c r="BF117" i="62"/>
  <c r="BF116" i="62"/>
  <c r="H48" i="62"/>
  <c r="G47" i="62" l="1"/>
  <c r="G45" i="62"/>
  <c r="G42" i="62"/>
  <c r="G46" i="62"/>
  <c r="G44" i="62"/>
  <c r="G43" i="62"/>
  <c r="AC116" i="62"/>
  <c r="AE87" i="62"/>
  <c r="AE85" i="62"/>
  <c r="AE83" i="62"/>
  <c r="AE81" i="62"/>
  <c r="AE79" i="62"/>
  <c r="AE77" i="62"/>
  <c r="AE75" i="62"/>
  <c r="AE73" i="62"/>
  <c r="AE71" i="62"/>
  <c r="AE69" i="62"/>
  <c r="AE67" i="62"/>
  <c r="AE65" i="62"/>
  <c r="P89" i="62"/>
  <c r="P87" i="62"/>
  <c r="P85" i="62"/>
  <c r="P83" i="62"/>
  <c r="P81" i="62"/>
  <c r="P79" i="62"/>
  <c r="P77" i="62"/>
  <c r="P75" i="62"/>
  <c r="P73" i="62"/>
  <c r="P71" i="62"/>
  <c r="P69" i="62"/>
  <c r="AD48" i="62"/>
  <c r="AD43" i="62"/>
  <c r="AD38" i="62"/>
  <c r="AD36" i="62"/>
  <c r="AD35" i="62"/>
  <c r="AD34" i="62"/>
  <c r="AD33" i="62"/>
  <c r="AD31" i="62"/>
  <c r="AD29" i="62"/>
  <c r="AD28" i="62"/>
  <c r="AD27" i="62"/>
  <c r="AD26" i="62"/>
  <c r="AD25" i="62"/>
  <c r="AD24" i="62"/>
  <c r="AD23" i="62"/>
  <c r="AC117" i="62"/>
  <c r="AB40" i="62"/>
  <c r="AB41" i="62"/>
  <c r="AB42" i="62"/>
  <c r="T42" i="62"/>
  <c r="T41" i="62"/>
  <c r="T40" i="62"/>
  <c r="E48" i="62"/>
  <c r="AA41" i="62" s="1"/>
  <c r="C48" i="62"/>
  <c r="AA40" i="62" s="1"/>
  <c r="V129" i="62"/>
  <c r="V103" i="62"/>
  <c r="V56" i="62"/>
  <c r="H17" i="62"/>
  <c r="G17" i="62"/>
  <c r="E18" i="62"/>
  <c r="E17" i="62"/>
  <c r="C18" i="62"/>
  <c r="C17" i="62"/>
  <c r="AF3" i="62"/>
  <c r="H27" i="62"/>
  <c r="L27" i="62" s="1"/>
  <c r="H28" i="62"/>
  <c r="L28" i="62" s="1"/>
  <c r="J67" i="62" s="1"/>
  <c r="H29" i="62"/>
  <c r="L29" i="62" s="1"/>
  <c r="K67" i="62" s="1"/>
  <c r="H30" i="62"/>
  <c r="L30" i="62" s="1"/>
  <c r="L65" i="62" s="1"/>
  <c r="H31" i="62"/>
  <c r="L31" i="62" s="1"/>
  <c r="M67" i="62" s="1"/>
  <c r="AB89" i="62" s="1"/>
  <c r="H32" i="62"/>
  <c r="L32" i="62" s="1"/>
  <c r="N67" i="62" s="1"/>
  <c r="AC89" i="62" s="1"/>
  <c r="B33" i="62"/>
  <c r="D33" i="62"/>
  <c r="F33" i="62"/>
  <c r="J33" i="62"/>
  <c r="K33" i="62"/>
  <c r="O33" i="62"/>
  <c r="Q33" i="62"/>
  <c r="AE46" i="62"/>
  <c r="AE47" i="62"/>
  <c r="A54" i="62"/>
  <c r="AC57" i="62"/>
  <c r="A61" i="62"/>
  <c r="C62" i="62"/>
  <c r="H62" i="62"/>
  <c r="A92" i="62"/>
  <c r="A93" i="62"/>
  <c r="H93" i="62"/>
  <c r="A94" i="62"/>
  <c r="A95" i="62"/>
  <c r="H95" i="62"/>
  <c r="A96" i="62"/>
  <c r="AC104" i="62"/>
  <c r="A111" i="62"/>
  <c r="C112" i="62"/>
  <c r="H112" i="62"/>
  <c r="AF116" i="62"/>
  <c r="AF117" i="62"/>
  <c r="A121" i="62"/>
  <c r="A122" i="62"/>
  <c r="H122" i="62"/>
  <c r="A123" i="62"/>
  <c r="A124" i="62"/>
  <c r="H124" i="62"/>
  <c r="A125" i="62"/>
  <c r="AC130" i="62"/>
  <c r="A137" i="62"/>
  <c r="C138" i="62"/>
  <c r="H138" i="62"/>
  <c r="AA142" i="62"/>
  <c r="AC142" i="62" s="1"/>
  <c r="AF142" i="62"/>
  <c r="AG142" i="62"/>
  <c r="AH142" i="62"/>
  <c r="AA143" i="62"/>
  <c r="AC143" i="62" s="1"/>
  <c r="AI143" i="62" s="1"/>
  <c r="AF143" i="62"/>
  <c r="AG143" i="62"/>
  <c r="AH143" i="62"/>
  <c r="AA144" i="62"/>
  <c r="AC144" i="62" s="1"/>
  <c r="AI144" i="62" s="1"/>
  <c r="AF144" i="62"/>
  <c r="AG144" i="62"/>
  <c r="AH144" i="62"/>
  <c r="U145" i="62"/>
  <c r="X145" i="62"/>
  <c r="A147" i="62"/>
  <c r="A148" i="62"/>
  <c r="H148" i="62"/>
  <c r="A149" i="62"/>
  <c r="A150" i="62"/>
  <c r="H150" i="62"/>
  <c r="A151" i="62"/>
  <c r="A173" i="62"/>
  <c r="A174" i="62"/>
  <c r="A175" i="62"/>
  <c r="A176" i="62"/>
  <c r="A177" i="62"/>
  <c r="A178" i="62"/>
  <c r="A179" i="62"/>
  <c r="A180" i="62"/>
  <c r="A181" i="62"/>
  <c r="A182" i="62"/>
  <c r="A183" i="62"/>
  <c r="A184" i="62"/>
  <c r="AD41" i="62" l="1"/>
  <c r="AD40" i="62"/>
  <c r="G48" i="62"/>
  <c r="AA42" i="62" s="1"/>
  <c r="AD42" i="62" s="1"/>
  <c r="L67" i="62"/>
  <c r="AA89" i="62" s="1"/>
  <c r="I67" i="62"/>
  <c r="I65" i="62"/>
  <c r="T18" i="62"/>
  <c r="AA145" i="62"/>
  <c r="AG119" i="62"/>
  <c r="H33" i="62"/>
  <c r="L33" i="62"/>
  <c r="J65" i="62"/>
  <c r="Y89" i="62" s="1"/>
  <c r="AC145" i="62"/>
  <c r="AI142" i="62"/>
  <c r="K65" i="62"/>
  <c r="AF119" i="62"/>
  <c r="AD39" i="62" l="1"/>
  <c r="Y18" i="62" s="1"/>
  <c r="P67" i="62"/>
  <c r="X89" i="62"/>
  <c r="AA39" i="62"/>
  <c r="AB39" i="62" s="1"/>
  <c r="Y17" i="62"/>
  <c r="Z89" i="62"/>
  <c r="P65" i="62"/>
  <c r="AE89" i="62" s="1"/>
  <c r="O44" i="62"/>
  <c r="AA119" i="62"/>
  <c r="AD44" i="62"/>
  <c r="AD47" i="62"/>
  <c r="AD46" i="62"/>
  <c r="O43" i="62"/>
  <c r="K44" i="62"/>
  <c r="K42" i="62"/>
  <c r="U119" i="62"/>
  <c r="V18" i="62" s="1"/>
  <c r="AE119" i="62"/>
  <c r="AE17" i="62" s="1"/>
  <c r="K45" i="62"/>
  <c r="M42" i="62"/>
  <c r="L45" i="62"/>
  <c r="O119" i="62"/>
  <c r="Z119" i="62"/>
  <c r="T17" i="62" s="1"/>
  <c r="M43" i="62"/>
  <c r="O45" i="62"/>
  <c r="M45" i="62"/>
  <c r="S119" i="62"/>
  <c r="Q119" i="62"/>
  <c r="M44" i="62"/>
  <c r="K43" i="62"/>
  <c r="O42" i="62"/>
  <c r="L42" i="62"/>
  <c r="L43" i="62"/>
  <c r="AC119" i="62"/>
  <c r="V119" i="62"/>
  <c r="AB119" i="62"/>
  <c r="X119" i="62"/>
  <c r="L44" i="62"/>
  <c r="M119" i="62"/>
  <c r="Q44" i="62" l="1"/>
  <c r="V17" i="62"/>
  <c r="M18" i="62"/>
  <c r="M17" i="62"/>
  <c r="Q18" i="62"/>
  <c r="Q17" i="62"/>
  <c r="I17" i="62"/>
  <c r="I18" i="62"/>
  <c r="Q43" i="62"/>
  <c r="K48" i="62"/>
  <c r="Q45" i="62"/>
  <c r="Q42" i="62"/>
  <c r="L48" i="62"/>
  <c r="O48" i="62"/>
  <c r="M48" i="62"/>
  <c r="Q48" i="62" l="1"/>
  <c r="AD17" i="62" s="1"/>
  <c r="AA17" i="62" l="1"/>
  <c r="AA18" i="6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Козак Артем</author>
    <author>ВГЗ та ЗП ДФ МОУ</author>
    <author>Козак Артем Євгенійович</author>
  </authors>
  <commentList>
    <comment ref="AF2" authorId="0" shapeId="0" xr:uid="{00000000-0006-0000-0100-000001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14. Винагорода за участь в ЗНБО (ООС) на лінії  бойового зіткнення на глибину ротних опорних пунктів</t>
        </r>
      </text>
    </comment>
    <comment ref="AG2" authorId="0" shapeId="0" xr:uid="{00000000-0006-0000-0100-000002000000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H2" authorId="0" shapeId="0" xr:uid="{5F40D229-8048-4744-B595-63687F5CFE66}">
      <text>
        <r>
          <rPr>
            <b/>
            <sz val="16"/>
            <color indexed="81"/>
            <rFont val="Tahoma"/>
            <family val="2"/>
            <charset val="204"/>
          </rPr>
          <t>Козак Артем:</t>
        </r>
        <r>
          <rPr>
            <sz val="16"/>
            <color indexed="81"/>
            <rFont val="Tahoma"/>
            <family val="2"/>
            <charset val="204"/>
          </rPr>
          <t xml:space="preserve">
 15. Винагорода за участь в ЗНБО (ООС) в інших місцях дислокації </t>
        </r>
      </text>
    </comment>
    <comment ref="AF3" authorId="1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ВГЗ та ЗП ДФ МОУ:</t>
        </r>
        <r>
          <rPr>
            <sz val="9"/>
            <color indexed="81"/>
            <rFont val="Tahoma"/>
            <family val="2"/>
            <charset val="204"/>
          </rPr>
          <t xml:space="preserve">
Назва листа</t>
        </r>
      </text>
    </comment>
    <comment ref="AA39" authorId="2" shapeId="0" xr:uid="{00000000-0006-0000-0100-000005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AA40" authorId="2" shapeId="0" xr:uid="{40B431FE-060B-4B50-9397-E283CBD569FF}">
      <text>
        <r>
          <rPr>
            <b/>
            <sz val="12"/>
            <color indexed="81"/>
            <rFont val="Tahoma"/>
            <family val="2"/>
            <charset val="204"/>
          </rPr>
          <t xml:space="preserve">Козак Артем Євгенійович:
</t>
        </r>
        <r>
          <rPr>
            <sz val="12"/>
            <color indexed="81"/>
            <rFont val="Tahoma"/>
            <family val="2"/>
            <charset val="204"/>
          </rPr>
          <t>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G41" authorId="2" shapeId="0" xr:uid="{965E2000-138F-4CAC-A929-21839465BACB}">
      <text>
        <r>
          <rPr>
            <b/>
            <sz val="14"/>
            <color indexed="81"/>
            <rFont val="Tahoma"/>
            <family val="2"/>
            <charset val="204"/>
          </rPr>
          <t>Козак Артем Євгенійович:
Разом з потребою звільненим, переведеним  з Додатку 2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A41" authorId="2" shapeId="0" xr:uid="{00000000-0006-0000-0100-000007000000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  <comment ref="AA42" authorId="2" shapeId="0" xr:uid="{8A328163-972C-4D0E-B8FB-57B1428FA74B}">
      <text>
        <r>
          <rPr>
            <b/>
            <sz val="12"/>
            <color indexed="81"/>
            <rFont val="Tahoma"/>
            <family val="2"/>
            <charset val="204"/>
          </rPr>
          <t>Козак Артем Євгенійович:</t>
        </r>
        <r>
          <rPr>
            <sz val="12"/>
            <color indexed="81"/>
            <rFont val="Tahoma"/>
            <family val="2"/>
            <charset val="204"/>
          </rPr>
          <t xml:space="preserve">
Заповнюється у Інформації про середньомісячну кількість в/с, 
які  мають право на додаткову винагороду на період дії воєнного стану згідно ПКМУ № 168 від 28.02.2022, (осіб/місяць)</t>
        </r>
      </text>
    </comment>
  </commentList>
</comments>
</file>

<file path=xl/sharedStrings.xml><?xml version="1.0" encoding="utf-8"?>
<sst xmlns="http://schemas.openxmlformats.org/spreadsheetml/2006/main" count="553" uniqueCount="302">
  <si>
    <t>х</t>
  </si>
  <si>
    <t>Разом:</t>
  </si>
  <si>
    <t>КУТОВИЙ ШТАМП</t>
  </si>
  <si>
    <t>РАЗОМ:</t>
  </si>
  <si>
    <t>(грн.)</t>
  </si>
  <si>
    <t>Відомчий код розпорядника коштів</t>
  </si>
  <si>
    <t xml:space="preserve">КПКВ </t>
  </si>
  <si>
    <t>МП</t>
  </si>
  <si>
    <t>Потреба на місяць (грн.)</t>
  </si>
  <si>
    <t>Категорії військово-службовців</t>
  </si>
  <si>
    <t>2120</t>
  </si>
  <si>
    <t xml:space="preserve"> КЕКВ</t>
  </si>
  <si>
    <t>Додаток 1</t>
  </si>
  <si>
    <t>катег. 1</t>
  </si>
  <si>
    <t>катег. 2</t>
  </si>
  <si>
    <t>катег. 3</t>
  </si>
  <si>
    <t>катег. 4</t>
  </si>
  <si>
    <t>катег. 5</t>
  </si>
  <si>
    <t>катег. 6</t>
  </si>
  <si>
    <t>Інформація про в/с, які не отримують ГЗ</t>
  </si>
  <si>
    <t>сума</t>
  </si>
  <si>
    <t>грошова допомога для оздоровлення</t>
  </si>
  <si>
    <t>матеріальна допомога</t>
  </si>
  <si>
    <t xml:space="preserve">інші </t>
  </si>
  <si>
    <t>самовільно залишили військову частину (установу)</t>
  </si>
  <si>
    <t>підйомна допомога</t>
  </si>
  <si>
    <t>відпустка по догл. за дитиною 
до 3 (6-ти) років, ІНШІ</t>
  </si>
  <si>
    <t xml:space="preserve">кіль-ть </t>
  </si>
  <si>
    <t>Найменування виплат</t>
  </si>
  <si>
    <t>Чисельність (чол.) / середній розмір (грн.)</t>
  </si>
  <si>
    <t>1. Оклади за військовим званням</t>
  </si>
  <si>
    <t>чисельн.</t>
  </si>
  <si>
    <t>Х</t>
  </si>
  <si>
    <t>сер. розм.</t>
  </si>
  <si>
    <t>2. Посадові оклади</t>
  </si>
  <si>
    <t>3. Надбавка за вислугу років</t>
  </si>
  <si>
    <t>4. Курсантська посадова надбавка</t>
  </si>
  <si>
    <t>7. Надбавка за особливості проходження служби</t>
  </si>
  <si>
    <t>8. Доплата за науковий ступінь</t>
  </si>
  <si>
    <t>9. Доплата за вчені звання</t>
  </si>
  <si>
    <t>10. Надбавка за спортивні звання</t>
  </si>
  <si>
    <t>11. Надбавка за почесні звання</t>
  </si>
  <si>
    <t>12. Надбавка за службу в умовах режимних обмежень в/с</t>
  </si>
  <si>
    <t>13. Надбавка за безперервний стаж на шифрувальній роботі</t>
  </si>
  <si>
    <t>14. Надбавка за викон. функцій держ. експерта з питань таємниць</t>
  </si>
  <si>
    <t>15. Надбавка за кваліфікацію та кваліфікаційну категорію</t>
  </si>
  <si>
    <t>16. Надбавка за службу в Силах спеціальних операцій ЗСУ</t>
  </si>
  <si>
    <t>17. Премія</t>
  </si>
  <si>
    <t>18. Надбавка за безпосереднє забезп. навч.-виховн. процесу</t>
  </si>
  <si>
    <t>19. Морська винагорода</t>
  </si>
  <si>
    <t>20. Винагорода за стрибки з парашутом</t>
  </si>
  <si>
    <t>21. Винагорода за водолазні роботи</t>
  </si>
  <si>
    <t>22. Винагорода за бойове чергування</t>
  </si>
  <si>
    <t>23. Вин. за розшук, піднімання, розмін. та знешкодж. вибух. предм. та за тралення і знешкодження мін</t>
  </si>
  <si>
    <t>грн.</t>
  </si>
  <si>
    <t>грошове забезпечення</t>
  </si>
  <si>
    <t xml:space="preserve"> 3. Грошова допомога для оздоровлення</t>
  </si>
  <si>
    <t xml:space="preserve"> 4. Матеріальна допомога для вирішення соц.-побут. питань</t>
  </si>
  <si>
    <t xml:space="preserve"> 6. Допомога у зв'язку з вагітністю та пологами</t>
  </si>
  <si>
    <t xml:space="preserve"> 10. Допомога на поховання</t>
  </si>
  <si>
    <t>Середній розмір (грн.)</t>
  </si>
  <si>
    <t>Спискова чисельність о/с, який отримує грошове забезпеченння, чол.</t>
  </si>
  <si>
    <t xml:space="preserve"> 8. Грошові виплати резервістам за час виконння ними обов'язків служби у військовому резерві</t>
  </si>
  <si>
    <t xml:space="preserve"> 7. Грошове забезпечення резервістів та військовозобов'язаних, які на день призову не працюють</t>
  </si>
  <si>
    <t>Додаток 2</t>
  </si>
  <si>
    <t>№ п/п</t>
  </si>
  <si>
    <t>Найменування військової частини (установи, організації)</t>
  </si>
  <si>
    <t>Військове  звання</t>
  </si>
  <si>
    <t>Потреба для виплати:</t>
  </si>
  <si>
    <t>за попередній місяць</t>
  </si>
  <si>
    <t xml:space="preserve"> за поточний місяць </t>
  </si>
  <si>
    <t xml:space="preserve"> ГД в разі звільнення в/с строкової служби</t>
  </si>
  <si>
    <t>Дата виключення із списків особового складу (звільнення, переведення)</t>
  </si>
  <si>
    <t>компенсація ПДФО</t>
  </si>
  <si>
    <t>Нараховано</t>
  </si>
  <si>
    <t>Додаток 3</t>
  </si>
  <si>
    <t>Найменування  виплат</t>
  </si>
  <si>
    <t>на членів
сім'ї</t>
  </si>
  <si>
    <t>Потреба на місяць</t>
  </si>
  <si>
    <t>кат. 1</t>
  </si>
  <si>
    <t>кат. 2</t>
  </si>
  <si>
    <t>кат. 3</t>
  </si>
  <si>
    <t>кат. 4</t>
  </si>
  <si>
    <t>кат. 5</t>
  </si>
  <si>
    <t>кат. 6</t>
  </si>
  <si>
    <t xml:space="preserve"> 5. ОГД за укладання першого контракту</t>
  </si>
  <si>
    <t>Спискову чисельність особового складу, чисельність військовослужбовців, які отримують грошове забезпечення, військової частини (установи) на день складання розрахунку засвідчую:</t>
  </si>
  <si>
    <t>Розрахунок інших належних виплат</t>
  </si>
  <si>
    <t xml:space="preserve"> 2. Індексація доходів в/с строкової служби та курсантів</t>
  </si>
  <si>
    <t xml:space="preserve"> 1. Індексація доходів в/с-ців, крім в/с строк. сл. та курсантів</t>
  </si>
  <si>
    <t xml:space="preserve"> 9. Одноразове грошове заохочення резервістам</t>
  </si>
  <si>
    <t>Інформація про зменшення розміру премії (з комп. ПДФО)</t>
  </si>
  <si>
    <t>Чисельність особ. складу (чол.)</t>
  </si>
  <si>
    <t xml:space="preserve"> ОГД в разі звільнення офіцерського, рядового сержантського та старшинського складу</t>
  </si>
  <si>
    <t>Грошова компенсація ПДФО</t>
  </si>
  <si>
    <t xml:space="preserve"> грошова допомога  на оздоровлення</t>
  </si>
  <si>
    <t>матеріальна допомога
для вирішення соціально-побутових питань</t>
  </si>
  <si>
    <t xml:space="preserve">24. Інші щомісячні виплати </t>
  </si>
  <si>
    <t>(зазначити вид виплати)</t>
  </si>
  <si>
    <t>25. Інші щомісячні виплати</t>
  </si>
  <si>
    <t xml:space="preserve"> 13. Інші виплати </t>
  </si>
  <si>
    <t>ЗАЯВКА-РОЗРАХУНОК</t>
  </si>
  <si>
    <t>УТОЧНЕНА ЗАЯВКА-РОЗРАХУНОК</t>
  </si>
  <si>
    <t>ДОДАТКОВА ЗАЯВКА-РОЗРАХУНОК</t>
  </si>
  <si>
    <t>солдат</t>
  </si>
  <si>
    <t>матрос</t>
  </si>
  <si>
    <t>старший солдат</t>
  </si>
  <si>
    <t>старший матрос</t>
  </si>
  <si>
    <t>молодший сержант</t>
  </si>
  <si>
    <t>старшина II статті</t>
  </si>
  <si>
    <t>сержант</t>
  </si>
  <si>
    <t>старшина I статті</t>
  </si>
  <si>
    <t>старший сержант</t>
  </si>
  <si>
    <t>головний старшина</t>
  </si>
  <si>
    <t>старшина</t>
  </si>
  <si>
    <t>головний корабельний старшина</t>
  </si>
  <si>
    <t>прапорщик</t>
  </si>
  <si>
    <t>мічман</t>
  </si>
  <si>
    <t>старший прапорщик</t>
  </si>
  <si>
    <t>старший мічман</t>
  </si>
  <si>
    <t>молодший лейтенант</t>
  </si>
  <si>
    <t>лейтенант</t>
  </si>
  <si>
    <t>старший лейтенант</t>
  </si>
  <si>
    <t>капітан</t>
  </si>
  <si>
    <t>капітан-лейтенант</t>
  </si>
  <si>
    <t>майор</t>
  </si>
  <si>
    <t>капітан III рангу</t>
  </si>
  <si>
    <t>підполковник</t>
  </si>
  <si>
    <t>капітан II рангу</t>
  </si>
  <si>
    <t>полковник</t>
  </si>
  <si>
    <t>капітан I рангу</t>
  </si>
  <si>
    <t>генерал-майор</t>
  </si>
  <si>
    <t>контр-адмірал</t>
  </si>
  <si>
    <t>генерал-лейтенант</t>
  </si>
  <si>
    <t>віце-адмірал</t>
  </si>
  <si>
    <t>генерал-полковник</t>
  </si>
  <si>
    <t>адмірал</t>
  </si>
  <si>
    <t>генерал армії України</t>
  </si>
  <si>
    <t>в/с строк. служби</t>
  </si>
  <si>
    <t>прац. ЗСУ</t>
  </si>
  <si>
    <t>Інформація про потребу в коштах 
на виплату підйомної допомоги, (грн.)</t>
  </si>
  <si>
    <t>Чисельність
  (чол.)</t>
  </si>
  <si>
    <t>РАЗОМ</t>
  </si>
  <si>
    <t>Інформація про чисельність особового складу, зарахованого на ГЗ</t>
  </si>
  <si>
    <t>членів сім'ї</t>
  </si>
  <si>
    <t>військово-службовців</t>
  </si>
  <si>
    <t>військово-службовці</t>
  </si>
  <si>
    <t>члени сім'ї</t>
  </si>
  <si>
    <t>Щомісячне грошове забезпечення звільненим та переведеним військовослужбовцям</t>
  </si>
  <si>
    <t>Дати та номери наказів про призначення та вступ військовослужбовця до виконання обовязків за посадою</t>
  </si>
  <si>
    <t>Дата реєстрації членів сім'ї в/с за його новим місцем служби</t>
  </si>
  <si>
    <t>Кількість членів сім'ї військово-службовця</t>
  </si>
  <si>
    <t>на військово-
службовця</t>
  </si>
  <si>
    <t>компенсація за невикористані дні відпустки</t>
  </si>
  <si>
    <t>РОЗРАХУНОК</t>
  </si>
  <si>
    <t>потреби в коштах для виплати підйомної допомоги</t>
  </si>
  <si>
    <t>РОЗРАХУНОК
потреби в коштах на виплату щомісячного грошового забезпечення</t>
  </si>
  <si>
    <t>Перейдіть на вкладку Файл.</t>
  </si>
  <si>
    <t xml:space="preserve">    Виберіть пункт Параметри.</t>
  </si>
  <si>
    <t xml:space="preserve">    Виберіть категорію Центр безпеки та конфіденційності та натисніть кнопку Настройки центру безпеки та конфіденційності.</t>
  </si>
  <si>
    <t xml:space="preserve">    У розділі Центр безпеки та конфіденційності виберіть пункт Настройки макросів.</t>
  </si>
  <si>
    <t xml:space="preserve">    Виберіть пункт "Увімкнути всі макроси".</t>
  </si>
  <si>
    <t xml:space="preserve">    Натисніть кнопку OK.</t>
  </si>
  <si>
    <t xml:space="preserve">  Для роботи з файлом потрібно включити макроси!</t>
  </si>
  <si>
    <t>Вийдіть з Excel та знову відкрийте файл.</t>
  </si>
  <si>
    <t>щомісячне грошове забезпечення</t>
  </si>
  <si>
    <t>розрахунки зі звільненими</t>
  </si>
  <si>
    <t>РАЗОМ (р. 1-22,24,25):</t>
  </si>
  <si>
    <t>Прізвище та ініціали, ідентифікаційний код</t>
  </si>
  <si>
    <t>2101020_1_2_1</t>
  </si>
  <si>
    <t>2101020_1_2_2</t>
  </si>
  <si>
    <t>2101020_1_2_3</t>
  </si>
  <si>
    <t xml:space="preserve"> 11. Грошова премія згідно з Дисциплінарним статутом ЗС України</t>
  </si>
  <si>
    <t>Дата</t>
  </si>
  <si>
    <t>Номер</t>
  </si>
  <si>
    <t>Видавник</t>
  </si>
  <si>
    <t>Короткий зміст</t>
  </si>
  <si>
    <t>Кількість</t>
  </si>
  <si>
    <t>Сума</t>
  </si>
  <si>
    <t>6. Винагорода за забезпечення кібербезпеки та кіберзахисту</t>
  </si>
  <si>
    <t>5. Надбавка за безоплатну здачу крові та (або) її компонентів</t>
  </si>
  <si>
    <t xml:space="preserve"> 12. Грош. премія, в/с, які залучаються до викон. завдань у складі черг. підрозділів (засобів) ракетних військ і артилерії</t>
  </si>
  <si>
    <t>Індексація доходів в/с-ців</t>
  </si>
  <si>
    <t>Назва</t>
  </si>
  <si>
    <t>Сер. розмір</t>
  </si>
  <si>
    <t>Сума без ПДФО</t>
  </si>
  <si>
    <t xml:space="preserve"> Підвищення винагороди за успішне виконання завданнь</t>
  </si>
  <si>
    <t>Командувач об'єднаних сил</t>
  </si>
  <si>
    <t>Командир оперативно-тактичного угрупування військ</t>
  </si>
  <si>
    <t>Командир бригади</t>
  </si>
  <si>
    <t>Командир батальйону (дивізіону)</t>
  </si>
  <si>
    <t>Командир роти (батареї)</t>
  </si>
  <si>
    <t>Командир взводу</t>
  </si>
  <si>
    <t>Командир віділення</t>
  </si>
  <si>
    <t>інші посади</t>
  </si>
  <si>
    <r>
      <t xml:space="preserve">Для того, щоб відключити режим </t>
    </r>
    <r>
      <rPr>
        <b/>
        <sz val="12"/>
        <rFont val="Arial Cyr"/>
        <charset val="204"/>
      </rPr>
      <t>Захищеного перегляду</t>
    </r>
    <r>
      <rPr>
        <sz val="12"/>
        <rFont val="Arial Cyr"/>
        <charset val="204"/>
      </rPr>
      <t xml:space="preserve"> в Excel, необхідно виконати наступне:</t>
    </r>
  </si>
  <si>
    <t>1. Нажміть файл - параметри.</t>
  </si>
  <si>
    <t>2. Далі у Центрі безпеки та конфіденційності перейдіть на вкладку Налаштування центру безпеки та конфіденційності.</t>
  </si>
  <si>
    <r>
      <t xml:space="preserve">3. Вкладка </t>
    </r>
    <r>
      <rPr>
        <b/>
        <sz val="12"/>
        <rFont val="Arial Cyr"/>
        <charset val="204"/>
      </rPr>
      <t>Захищений перегляд</t>
    </r>
    <r>
      <rPr>
        <sz val="12"/>
        <rFont val="Arial Cyr"/>
        <charset val="204"/>
      </rPr>
      <t>.</t>
    </r>
  </si>
  <si>
    <t>4. Відключіть непотрібні опції.</t>
  </si>
  <si>
    <t>5. Вийдіть з Excel та знову відкрийте файл.</t>
  </si>
  <si>
    <t>ТЕГ</t>
  </si>
  <si>
    <t>рекрут</t>
  </si>
  <si>
    <t>штаб-сержант</t>
  </si>
  <si>
    <t>штаб-старшина</t>
  </si>
  <si>
    <t>майстер-сержант</t>
  </si>
  <si>
    <t>майстер-старшина</t>
  </si>
  <si>
    <t>старший майстер-сержант</t>
  </si>
  <si>
    <t>старший майстер-старшина</t>
  </si>
  <si>
    <t>головний майстер-сержант</t>
  </si>
  <si>
    <t>головний майстер-старшина</t>
  </si>
  <si>
    <t>бригадний генерал</t>
  </si>
  <si>
    <t>коммодор</t>
  </si>
  <si>
    <t>Південь</t>
  </si>
  <si>
    <t>Полігони</t>
  </si>
  <si>
    <t>COVID</t>
  </si>
  <si>
    <t>Q-курс</t>
  </si>
  <si>
    <t>Інше</t>
  </si>
  <si>
    <t>Індивідуальна премія, сертифікат</t>
  </si>
  <si>
    <t>Міністр оборони України</t>
  </si>
  <si>
    <t>Головнокомандувач Збройних Сил України</t>
  </si>
  <si>
    <t>ком. об'єднаних сил Збройних Сил України</t>
  </si>
  <si>
    <t>Нач-к Генерального штабу Збройних Сил України</t>
  </si>
  <si>
    <t>нач-к Національного університету оборони України імені Івана Черняховського</t>
  </si>
  <si>
    <t>ком-ч об'єднаних сил</t>
  </si>
  <si>
    <t>ком-ч Сухопутних військ Збройних Сил України</t>
  </si>
  <si>
    <t>ком-ч Повітряних Сил Збройних Сил України</t>
  </si>
  <si>
    <t>ком-ч Військово-Морських Сил Збройних Сил України</t>
  </si>
  <si>
    <t>ком-ч Десантно-штурмових військ Збройних Сил України</t>
  </si>
  <si>
    <t>ком-ч Сил спеціальних операцій Збройних Сил України</t>
  </si>
  <si>
    <t>ком-ч Сил логістики Збройних Сил України</t>
  </si>
  <si>
    <t>ком-ч Сил підтримки Збройних Сил України</t>
  </si>
  <si>
    <t>ком-ч Військ зв'язку та кібербезпеки Збройних Сил України</t>
  </si>
  <si>
    <t>ком-ч Медичних сил Збройних Сил України</t>
  </si>
  <si>
    <t>Голова Адміністрації Державної спеціальної служби транспорту України</t>
  </si>
  <si>
    <t>Ознака рішення суду</t>
  </si>
  <si>
    <t>Дозвіл КСВ</t>
  </si>
  <si>
    <t>Дозвіл ПС</t>
  </si>
  <si>
    <t>Дозвіл ВМС</t>
  </si>
  <si>
    <t>Дозвіл ДШВ</t>
  </si>
  <si>
    <t>Дозвіл ССО</t>
  </si>
  <si>
    <t>Дозвіл ДССТ</t>
  </si>
  <si>
    <t>Рішення суду (у разі відсутності дозволу)</t>
  </si>
  <si>
    <r>
      <t xml:space="preserve">Загальна спискова чис. о/с </t>
    </r>
    <r>
      <rPr>
        <b/>
        <i/>
        <sz val="10"/>
        <color indexed="8"/>
        <rFont val="Times New Roman"/>
        <family val="1"/>
        <charset val="204"/>
      </rPr>
      <t>(</t>
    </r>
    <r>
      <rPr>
        <i/>
        <sz val="10"/>
        <color indexed="8"/>
        <rFont val="Times New Roman"/>
        <family val="1"/>
        <charset val="204"/>
      </rPr>
      <t>на кінець періоду; з основної заявки минулого місяця</t>
    </r>
    <r>
      <rPr>
        <b/>
        <i/>
        <sz val="10"/>
        <color indexed="8"/>
        <rFont val="Times New Roman"/>
        <family val="1"/>
        <charset val="204"/>
      </rPr>
      <t>)</t>
    </r>
    <r>
      <rPr>
        <b/>
        <sz val="10"/>
        <color indexed="8"/>
        <rFont val="Times New Roman"/>
        <family val="1"/>
        <charset val="204"/>
      </rPr>
      <t>, чол.</t>
    </r>
  </si>
  <si>
    <t>Загальна спискова чис. о/с на кінець періоду, чол.</t>
  </si>
  <si>
    <t>Прибуло особового складу, чол.</t>
  </si>
  <si>
    <t>Вибуло особового складу, чол.</t>
  </si>
  <si>
    <t>Дозвіл КСП</t>
  </si>
  <si>
    <t>Дозвіл КСЛ</t>
  </si>
  <si>
    <t>Дозвіл ГУ ВСП</t>
  </si>
  <si>
    <t>Винагорода на період дії воєнного стану</t>
  </si>
  <si>
    <t>ЗАЛИШКИ</t>
  </si>
  <si>
    <t>інші (індексація, контракт, дисцип. премія, інше)</t>
  </si>
  <si>
    <t>розрахунки зі звільненими 
(ОГД та компенсація за відпустки)</t>
  </si>
  <si>
    <r>
      <t>ПОТРЕБА В КОШТАХ (</t>
    </r>
    <r>
      <rPr>
        <b/>
        <i/>
        <sz val="22"/>
        <color indexed="8"/>
        <rFont val="Times New Roman"/>
        <family val="1"/>
        <charset val="204"/>
      </rPr>
      <t>зменшена на суму залишків</t>
    </r>
    <r>
      <rPr>
        <b/>
        <sz val="22"/>
        <color indexed="8"/>
        <rFont val="Times New Roman"/>
        <family val="1"/>
        <charset val="204"/>
      </rPr>
      <t>)</t>
    </r>
  </si>
  <si>
    <t>винагорода на період дії воєнного стану</t>
  </si>
  <si>
    <t>ком-ч Сил територіальної оборони Збройних Сил України</t>
  </si>
  <si>
    <t>Дозвіл КСТрО</t>
  </si>
  <si>
    <t>2112/
 2250/2800</t>
  </si>
  <si>
    <t xml:space="preserve">Потреба за КЕКВ 2800 “Інші поточні видатки” за напрямом грошового забезпечення </t>
  </si>
  <si>
    <t>Потреба за КЕКВ 2250 підйомна допомога</t>
  </si>
  <si>
    <t>РАЗОМ за КЕКВ 2112:</t>
  </si>
  <si>
    <t>КЕКВ 2800 “Інші поточні видатки”</t>
  </si>
  <si>
    <t>КЕКВ 2250 
підйомна допомога</t>
  </si>
  <si>
    <t>потреби в коштах для військовослужбовців, звільнених з військової служби (переміщених до інших військових частин), виконання рішень судів та видатків за КЕКВ 2800 “Інші поточні видатки” за напрямом грошового забезпечення</t>
  </si>
  <si>
    <t>на фінансування для виплати грошового забезпечення та підйомної допомоги військовослужбовцям, виконання рішень судів та видатків за КЕКВ 2800 “Інші поточні видатки” за напрямом грошового забезпечення</t>
  </si>
  <si>
    <t>Начальнику забезпечувального фінансового органу
(Відповідальному за бюджетну підпрограму)</t>
  </si>
  <si>
    <r>
      <t xml:space="preserve">РАЗОМ
</t>
    </r>
    <r>
      <rPr>
        <b/>
        <sz val="18"/>
        <color indexed="8"/>
        <rFont val="Times New Roman"/>
        <family val="1"/>
        <charset val="204"/>
      </rPr>
      <t>потреба для виплати грошового забезпечення</t>
    </r>
  </si>
  <si>
    <t>Номер та дата наказу про звільнення (переміщення до інших в/ч), назва органу, яким видано наказ|Номер та дата дозволу на неоскарження</t>
  </si>
  <si>
    <t>Судовий збір</t>
  </si>
  <si>
    <t>Виконавчий збір, витрати виконавчого провадження</t>
  </si>
  <si>
    <t>Штраф</t>
  </si>
  <si>
    <t>Дозвіл Департаменту CЗ</t>
  </si>
  <si>
    <t>Вид потреби 2800</t>
  </si>
  <si>
    <t>В: 2.5</t>
  </si>
  <si>
    <t>у розмірі 
50 000 
грн/місяць</t>
  </si>
  <si>
    <t>у розмірі 
30 000 
грн/місяць</t>
  </si>
  <si>
    <t>у розмірі 
100 000 
грн/місяць</t>
  </si>
  <si>
    <t>Інформація про середньомісячну кількість в/с, 
які мають право на додаткову винагороду на період дії воєнного стану згідно ПКМУ № 168 від 28.02.2022, (осіб/місяць)</t>
  </si>
  <si>
    <t>14. Додаткова винагорода на період дії воєнного стану згідно ПКМУ від 28.02.2022 № 168, а саме:</t>
  </si>
  <si>
    <t xml:space="preserve"> 15. Підвищ-ня винагороди за успіш. вик. завд.; знищенну техніку</t>
  </si>
  <si>
    <t xml:space="preserve"> РАЗОМ (р. 1-16):</t>
  </si>
  <si>
    <t xml:space="preserve"> 17. Нарахування ЄСВ (22 %)</t>
  </si>
  <si>
    <t>18. Збільш. розміру ЄСВ до мінімального розміру, установ. законодавством</t>
  </si>
  <si>
    <t xml:space="preserve"> 16. Грошова компенсація сум податку з доходів фіз. осіб</t>
  </si>
  <si>
    <t>Середній заробіток або ЩГЗ</t>
  </si>
  <si>
    <t>ЄСВ нараховується</t>
  </si>
  <si>
    <t>ПДФО нараховується</t>
  </si>
  <si>
    <t>Грошова доп. для оздоров.</t>
  </si>
  <si>
    <t>Матеріальна допомога …</t>
  </si>
  <si>
    <t>Індексація</t>
  </si>
  <si>
    <t xml:space="preserve"> ОГД в разі звільнення </t>
  </si>
  <si>
    <t>Компенсація за дні відпустки</t>
  </si>
  <si>
    <t>Додаткова винагорода на період дії воєнного стану</t>
  </si>
  <si>
    <t>Оподаткування видатків згідно рішень судів</t>
  </si>
  <si>
    <t>кількість</t>
  </si>
  <si>
    <t>Категорія</t>
  </si>
  <si>
    <t>Разом (+ звіл.)</t>
  </si>
  <si>
    <t>ЗНБО</t>
  </si>
  <si>
    <t>Залишок коштів / 
дебіторська заборгованість  / корегування потреби</t>
  </si>
  <si>
    <t>Потреба за КЕКВ 2800 “Інші поточні видатки” за напрямом грошового забезпечення (з к.ПДФО та ЄСВ)</t>
  </si>
  <si>
    <t>Дозвіл КВЗтаКібербезпеки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</si>
</sst>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-* #,##0.00_р_._-;\-* #,##0.00_р_._-;_-* &quot;-&quot;??_р_._-;_-@_-"/>
    <numFmt numFmtId="166" formatCode="_-* #,##0.00\ &quot;грн.&quot;_-;\-* #,##0.00\ &quot;грн.&quot;_-;_-* &quot;-&quot;??\ &quot;грн.&quot;_-;_-@_-"/>
    <numFmt numFmtId="167" formatCode="_-* #,##0.00\ _г_р_н_._-;\-* #,##0.00\ _г_р_н_._-;_-* &quot;-&quot;??\ _г_р_н_._-;_-@_-"/>
    <numFmt numFmtId="168" formatCode="#,##0.0"/>
    <numFmt numFmtId="169" formatCode="dd\.mm\.yy;@"/>
    <numFmt numFmtId="170" formatCode="dd/mm/yy;@"/>
    <numFmt numFmtId="171" formatCode="_(&quot;грн.&quot;* #,##0.00_);_(&quot;грн.&quot;* \(#,##0.00\);_(&quot;грн.&quot;* &quot;-&quot;??_);_(@_)"/>
    <numFmt numFmtId="172" formatCode="0.0"/>
  </numFmts>
  <fonts count="170" x14ac:knownFonts="1">
    <font>
      <sz val="10"/>
      <name val="Arial Cyr"/>
      <charset val="204"/>
    </font>
    <font>
      <sz val="10"/>
      <name val="Arial Cyr"/>
      <charset val="204"/>
    </font>
    <font>
      <u/>
      <sz val="5"/>
      <color indexed="12"/>
      <name val="Arial Cyr"/>
      <charset val="204"/>
    </font>
    <font>
      <sz val="10"/>
      <name val="Arial Cyr"/>
      <charset val="204"/>
    </font>
    <font>
      <b/>
      <sz val="10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b/>
      <sz val="11"/>
      <color indexed="56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18"/>
      <name val="Times New Roman"/>
      <family val="1"/>
      <charset val="204"/>
    </font>
    <font>
      <b/>
      <sz val="20"/>
      <name val="Times New Roman"/>
      <family val="1"/>
      <charset val="204"/>
    </font>
    <font>
      <i/>
      <sz val="11"/>
      <name val="Times New Roman"/>
      <family val="1"/>
      <charset val="204"/>
    </font>
    <font>
      <i/>
      <sz val="10.5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sz val="20"/>
      <name val="Times New Roman"/>
      <family val="1"/>
      <charset val="204"/>
    </font>
    <font>
      <i/>
      <sz val="14"/>
      <name val="Times New Roman"/>
      <family val="1"/>
      <charset val="204"/>
    </font>
    <font>
      <i/>
      <sz val="12"/>
      <name val="Times New Roman"/>
      <family val="1"/>
      <charset val="204"/>
    </font>
    <font>
      <i/>
      <sz val="18"/>
      <name val="Times New Roman"/>
      <family val="1"/>
      <charset val="204"/>
    </font>
    <font>
      <i/>
      <sz val="16"/>
      <name val="Times New Roman"/>
      <family val="1"/>
      <charset val="204"/>
    </font>
    <font>
      <sz val="16"/>
      <name val="Times New Roman"/>
      <family val="1"/>
      <charset val="204"/>
    </font>
    <font>
      <b/>
      <sz val="26"/>
      <name val="Times New Roman"/>
      <family val="1"/>
      <charset val="204"/>
    </font>
    <font>
      <b/>
      <sz val="15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name val="Times New Roman"/>
      <family val="1"/>
      <charset val="204"/>
    </font>
    <font>
      <u/>
      <sz val="5"/>
      <color indexed="12"/>
      <name val="Times New Roman"/>
      <family val="1"/>
      <charset val="204"/>
    </font>
    <font>
      <sz val="22"/>
      <name val="Times New Roman"/>
      <family val="1"/>
      <charset val="204"/>
    </font>
    <font>
      <b/>
      <u/>
      <sz val="26"/>
      <name val="Times New Roman"/>
      <family val="1"/>
      <charset val="204"/>
    </font>
    <font>
      <sz val="8"/>
      <name val="Arial Cyr"/>
      <charset val="204"/>
    </font>
    <font>
      <sz val="14"/>
      <name val="Arial Cyr"/>
      <charset val="204"/>
    </font>
    <font>
      <sz val="12"/>
      <color indexed="8"/>
      <name val="Times New Roman"/>
      <family val="1"/>
      <charset val="204"/>
    </font>
    <font>
      <b/>
      <sz val="14"/>
      <color indexed="8"/>
      <name val="Times New Roman"/>
      <family val="1"/>
      <charset val="204"/>
    </font>
    <font>
      <sz val="16"/>
      <color indexed="8"/>
      <name val="Times New Roman"/>
      <family val="1"/>
      <charset val="204"/>
    </font>
    <font>
      <sz val="14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20"/>
      <color indexed="8"/>
      <name val="Times New Roman"/>
      <family val="1"/>
      <charset val="204"/>
    </font>
    <font>
      <b/>
      <sz val="11"/>
      <color indexed="23"/>
      <name val="Times New Roman"/>
      <family val="1"/>
      <charset val="204"/>
    </font>
    <font>
      <sz val="14"/>
      <color indexed="56"/>
      <name val="Times New Roman"/>
      <family val="1"/>
      <charset val="204"/>
    </font>
    <font>
      <sz val="16"/>
      <color indexed="56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20"/>
      <color indexed="8"/>
      <name val="Times New Roman"/>
      <family val="1"/>
      <charset val="204"/>
    </font>
    <font>
      <sz val="12"/>
      <color indexed="56"/>
      <name val="Times New Roman"/>
      <family val="1"/>
      <charset val="204"/>
    </font>
    <font>
      <b/>
      <sz val="11"/>
      <color indexed="8"/>
      <name val="Times New Roman"/>
      <family val="1"/>
      <charset val="204"/>
    </font>
    <font>
      <b/>
      <sz val="18"/>
      <color indexed="8"/>
      <name val="Times New Roman"/>
      <family val="1"/>
      <charset val="204"/>
    </font>
    <font>
      <b/>
      <sz val="22"/>
      <color indexed="8"/>
      <name val="Times New Roman"/>
      <family val="1"/>
      <charset val="204"/>
    </font>
    <font>
      <b/>
      <sz val="16"/>
      <color indexed="23"/>
      <name val="Times New Roman"/>
      <family val="1"/>
      <charset val="204"/>
    </font>
    <font>
      <sz val="11"/>
      <color indexed="8"/>
      <name val="Times New Roman"/>
      <family val="1"/>
      <charset val="204"/>
    </font>
    <font>
      <b/>
      <sz val="11"/>
      <color indexed="55"/>
      <name val="Times New Roman"/>
      <family val="1"/>
      <charset val="204"/>
    </font>
    <font>
      <b/>
      <sz val="11"/>
      <color indexed="10"/>
      <name val="Times New Roman"/>
      <family val="1"/>
      <charset val="204"/>
    </font>
    <font>
      <sz val="18"/>
      <color indexed="56"/>
      <name val="Times New Roman"/>
      <family val="1"/>
      <charset val="204"/>
    </font>
    <font>
      <sz val="11"/>
      <color indexed="56"/>
      <name val="Times New Roman"/>
      <family val="1"/>
      <charset val="204"/>
    </font>
    <font>
      <b/>
      <u/>
      <sz val="20"/>
      <color indexed="56"/>
      <name val="Times New Roman"/>
      <family val="1"/>
      <charset val="204"/>
    </font>
    <font>
      <b/>
      <u/>
      <sz val="16"/>
      <color indexed="56"/>
      <name val="Times New Roman"/>
      <family val="1"/>
      <charset val="204"/>
    </font>
    <font>
      <b/>
      <sz val="16"/>
      <color indexed="8"/>
      <name val="Times New Roman"/>
      <family val="1"/>
      <charset val="204"/>
    </font>
    <font>
      <b/>
      <i/>
      <sz val="16"/>
      <color indexed="8"/>
      <name val="Times New Roman"/>
      <family val="1"/>
      <charset val="204"/>
    </font>
    <font>
      <i/>
      <sz val="16"/>
      <color indexed="8"/>
      <name val="Times New Roman"/>
      <family val="1"/>
      <charset val="204"/>
    </font>
    <font>
      <i/>
      <sz val="16"/>
      <color indexed="60"/>
      <name val="Times New Roman"/>
      <family val="1"/>
      <charset val="204"/>
    </font>
    <font>
      <i/>
      <sz val="15"/>
      <color indexed="8"/>
      <name val="Times New Roman"/>
      <family val="1"/>
      <charset val="204"/>
    </font>
    <font>
      <i/>
      <sz val="14"/>
      <color indexed="8"/>
      <name val="Times New Roman"/>
      <family val="1"/>
      <charset val="204"/>
    </font>
    <font>
      <b/>
      <i/>
      <sz val="12"/>
      <color indexed="8"/>
      <name val="Times New Roman"/>
      <family val="1"/>
      <charset val="204"/>
    </font>
    <font>
      <i/>
      <sz val="12"/>
      <color indexed="8"/>
      <name val="Times New Roman"/>
      <family val="1"/>
      <charset val="204"/>
    </font>
    <font>
      <b/>
      <u/>
      <sz val="22"/>
      <color indexed="8"/>
      <name val="Times New Roman"/>
      <family val="1"/>
      <charset val="204"/>
    </font>
    <font>
      <i/>
      <sz val="18"/>
      <color indexed="60"/>
      <name val="Times New Roman"/>
      <family val="1"/>
      <charset val="204"/>
    </font>
    <font>
      <b/>
      <u/>
      <sz val="26"/>
      <color indexed="8"/>
      <name val="Times New Roman"/>
      <family val="1"/>
      <charset val="204"/>
    </font>
    <font>
      <b/>
      <sz val="14"/>
      <color indexed="10"/>
      <name val="Arial Cyr"/>
      <charset val="204"/>
    </font>
    <font>
      <sz val="11"/>
      <color indexed="55"/>
      <name val="Times New Roman"/>
      <family val="1"/>
      <charset val="204"/>
    </font>
    <font>
      <sz val="14"/>
      <color indexed="55"/>
      <name val="Times New Roman"/>
      <family val="1"/>
      <charset val="204"/>
    </font>
    <font>
      <b/>
      <sz val="10"/>
      <color indexed="55"/>
      <name val="Times New Roman"/>
      <family val="1"/>
      <charset val="204"/>
    </font>
    <font>
      <sz val="10"/>
      <color indexed="55"/>
      <name val="Times New Roman"/>
      <family val="1"/>
      <charset val="204"/>
    </font>
    <font>
      <sz val="10"/>
      <color indexed="56"/>
      <name val="Times New Roman"/>
      <family val="1"/>
      <charset val="204"/>
    </font>
    <font>
      <b/>
      <i/>
      <sz val="18"/>
      <name val="Times New Roman"/>
      <family val="1"/>
      <charset val="204"/>
    </font>
    <font>
      <b/>
      <sz val="16"/>
      <color indexed="81"/>
      <name val="Tahoma"/>
      <family val="2"/>
      <charset val="204"/>
    </font>
    <font>
      <sz val="16"/>
      <color indexed="81"/>
      <name val="Tahoma"/>
      <family val="2"/>
      <charset val="204"/>
    </font>
    <font>
      <sz val="12"/>
      <name val="Arial Cyr"/>
      <charset val="204"/>
    </font>
    <font>
      <b/>
      <sz val="12"/>
      <name val="Arial Cyr"/>
      <charset val="204"/>
    </font>
    <font>
      <sz val="12"/>
      <name val="Times New Roman"/>
      <family val="1"/>
      <charset val="204"/>
    </font>
    <font>
      <sz val="18"/>
      <name val="Times New Roman"/>
      <family val="1"/>
      <charset val="204"/>
    </font>
    <font>
      <sz val="10"/>
      <color indexed="8"/>
      <name val="Arial"/>
      <family val="2"/>
      <charset val="204"/>
    </font>
    <font>
      <sz val="10"/>
      <color indexed="8"/>
      <name val="Arial"/>
      <family val="2"/>
      <charset val="204"/>
    </font>
    <font>
      <sz val="10"/>
      <name val="Arial"/>
      <family val="2"/>
      <charset val="204"/>
    </font>
    <font>
      <b/>
      <sz val="10"/>
      <color indexed="8"/>
      <name val="Times New Roman"/>
      <family val="1"/>
      <charset val="204"/>
    </font>
    <font>
      <b/>
      <i/>
      <sz val="10"/>
      <color indexed="8"/>
      <name val="Times New Roman"/>
      <family val="1"/>
      <charset val="204"/>
    </font>
    <font>
      <i/>
      <sz val="10"/>
      <color indexed="8"/>
      <name val="Times New Roman"/>
      <family val="1"/>
      <charset val="204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b/>
      <i/>
      <sz val="22"/>
      <color indexed="8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4"/>
      <color theme="1"/>
      <name val="Times New Roman"/>
      <family val="2"/>
      <charset val="204"/>
    </font>
    <font>
      <sz val="11"/>
      <color theme="0"/>
      <name val="Calibri"/>
      <family val="2"/>
      <charset val="204"/>
      <scheme val="minor"/>
    </font>
    <font>
      <sz val="14"/>
      <color theme="0"/>
      <name val="Times New Roman"/>
      <family val="2"/>
      <charset val="204"/>
    </font>
    <font>
      <b/>
      <sz val="10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9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  <font>
      <sz val="9"/>
      <color rgb="FF000000"/>
      <name val="Arial"/>
      <family val="2"/>
      <charset val="204"/>
    </font>
    <font>
      <sz val="11"/>
      <color rgb="FF3F3F76"/>
      <name val="Calibri"/>
      <family val="2"/>
      <charset val="204"/>
      <scheme val="minor"/>
    </font>
    <font>
      <sz val="14"/>
      <color rgb="FF3F3F76"/>
      <name val="Times New Roman"/>
      <family val="2"/>
      <charset val="204"/>
    </font>
    <font>
      <b/>
      <sz val="11"/>
      <color rgb="FF3F3F3F"/>
      <name val="Calibri"/>
      <family val="2"/>
      <charset val="204"/>
      <scheme val="minor"/>
    </font>
    <font>
      <b/>
      <sz val="14"/>
      <color rgb="FF3F3F3F"/>
      <name val="Times New Roman"/>
      <family val="2"/>
      <charset val="204"/>
    </font>
    <font>
      <b/>
      <sz val="11"/>
      <color rgb="FFFA7D00"/>
      <name val="Calibri"/>
      <family val="2"/>
      <charset val="204"/>
      <scheme val="minor"/>
    </font>
    <font>
      <b/>
      <sz val="14"/>
      <color rgb="FFFA7D00"/>
      <name val="Times New Roman"/>
      <family val="2"/>
      <charset val="204"/>
    </font>
    <font>
      <u/>
      <sz val="10"/>
      <color theme="10"/>
      <name val="Arial Cyr"/>
      <charset val="204"/>
    </font>
    <font>
      <u/>
      <sz val="11"/>
      <color theme="1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5"/>
      <color theme="3"/>
      <name val="Times New Roman"/>
      <family val="2"/>
      <charset val="204"/>
    </font>
    <font>
      <b/>
      <sz val="13"/>
      <color theme="3"/>
      <name val="Calibri"/>
      <family val="2"/>
      <charset val="204"/>
      <scheme val="minor"/>
    </font>
    <font>
      <b/>
      <sz val="13"/>
      <color theme="3"/>
      <name val="Times New Roman"/>
      <family val="2"/>
      <charset val="204"/>
    </font>
    <font>
      <b/>
      <sz val="11"/>
      <color theme="3"/>
      <name val="Calibri"/>
      <family val="2"/>
      <charset val="204"/>
      <scheme val="minor"/>
    </font>
    <font>
      <b/>
      <sz val="11"/>
      <color theme="3"/>
      <name val="Times New Roman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4"/>
      <color theme="0"/>
      <name val="Times New Roman"/>
      <family val="2"/>
      <charset val="204"/>
    </font>
    <font>
      <b/>
      <sz val="18"/>
      <color theme="3"/>
      <name val="Cambria"/>
      <family val="2"/>
      <charset val="204"/>
      <scheme val="major"/>
    </font>
    <font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4"/>
      <color rgb="FF9C6500"/>
      <name val="Times New Roman"/>
      <family val="2"/>
      <charset val="204"/>
    </font>
    <font>
      <sz val="11"/>
      <color rgb="FF9C570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charset val="204"/>
      <scheme val="minor"/>
    </font>
    <font>
      <sz val="14"/>
      <color rgb="FF9C0006"/>
      <name val="Times New Roman"/>
      <family val="2"/>
      <charset val="204"/>
    </font>
    <font>
      <i/>
      <sz val="11"/>
      <color rgb="FF7F7F7F"/>
      <name val="Calibri"/>
      <family val="2"/>
      <charset val="204"/>
      <scheme val="minor"/>
    </font>
    <font>
      <i/>
      <sz val="14"/>
      <color rgb="FF7F7F7F"/>
      <name val="Times New Roman"/>
      <family val="2"/>
      <charset val="204"/>
    </font>
    <font>
      <sz val="11"/>
      <color rgb="FFFA7D00"/>
      <name val="Calibri"/>
      <family val="2"/>
      <charset val="204"/>
      <scheme val="minor"/>
    </font>
    <font>
      <sz val="14"/>
      <color rgb="FFFA7D00"/>
      <name val="Times New Roman"/>
      <family val="2"/>
      <charset val="204"/>
    </font>
    <font>
      <sz val="11"/>
      <color rgb="FFFF0000"/>
      <name val="Calibri"/>
      <family val="2"/>
      <charset val="204"/>
      <scheme val="minor"/>
    </font>
    <font>
      <sz val="14"/>
      <color rgb="FFFF0000"/>
      <name val="Times New Roman"/>
      <family val="2"/>
      <charset val="204"/>
    </font>
    <font>
      <sz val="11"/>
      <color rgb="FF006100"/>
      <name val="Calibri"/>
      <family val="2"/>
      <charset val="204"/>
      <scheme val="minor"/>
    </font>
    <font>
      <sz val="14"/>
      <color rgb="FF006100"/>
      <name val="Times New Roman"/>
      <family val="2"/>
      <charset val="204"/>
    </font>
    <font>
      <sz val="16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8"/>
      <color theme="1"/>
      <name val="Times New Roman"/>
      <family val="1"/>
      <charset val="204"/>
    </font>
    <font>
      <b/>
      <sz val="18"/>
      <color theme="1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26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20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u/>
      <sz val="18"/>
      <color theme="1"/>
      <name val="Times New Roman"/>
      <family val="1"/>
      <charset val="204"/>
    </font>
    <font>
      <sz val="22"/>
      <color theme="1"/>
      <name val="Times New Roman"/>
      <family val="1"/>
      <charset val="204"/>
    </font>
    <font>
      <sz val="11"/>
      <color theme="0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i/>
      <sz val="16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2"/>
      <color theme="1"/>
      <name val="Times New Roman"/>
      <family val="1"/>
      <charset val="204"/>
    </font>
    <font>
      <b/>
      <sz val="24"/>
      <color theme="1"/>
      <name val="Times New Roman"/>
      <family val="1"/>
      <charset val="204"/>
    </font>
    <font>
      <b/>
      <sz val="28"/>
      <color theme="1"/>
      <name val="Times New Roman"/>
      <family val="1"/>
      <charset val="204"/>
    </font>
    <font>
      <b/>
      <u/>
      <sz val="20"/>
      <color theme="1"/>
      <name val="Times New Roman"/>
      <family val="1"/>
      <charset val="204"/>
    </font>
    <font>
      <b/>
      <u/>
      <sz val="22"/>
      <color theme="1"/>
      <name val="Times New Roman"/>
      <family val="1"/>
      <charset val="204"/>
    </font>
    <font>
      <sz val="24"/>
      <color theme="1"/>
      <name val="Times New Roman"/>
      <family val="1"/>
      <charset val="204"/>
    </font>
    <font>
      <b/>
      <i/>
      <sz val="26"/>
      <color theme="1"/>
      <name val="Times New Roman"/>
      <family val="1"/>
      <charset val="204"/>
    </font>
    <font>
      <b/>
      <sz val="17"/>
      <color theme="1"/>
      <name val="Times New Roman"/>
      <family val="1"/>
      <charset val="204"/>
    </font>
    <font>
      <sz val="16"/>
      <color rgb="FF0000FF"/>
      <name val="Times New Roman"/>
      <family val="1"/>
      <charset val="204"/>
    </font>
    <font>
      <b/>
      <sz val="28"/>
      <color rgb="FF0000FF"/>
      <name val="Arial Cyr"/>
    </font>
    <font>
      <b/>
      <i/>
      <sz val="28"/>
      <color rgb="FF0000FF"/>
      <name val="Arial Cyr"/>
    </font>
    <font>
      <b/>
      <sz val="16"/>
      <color rgb="FFFF0000"/>
      <name val="Arial Cyr"/>
    </font>
    <font>
      <sz val="16"/>
      <color rgb="FFFF0000"/>
      <name val="Arial Cyr"/>
    </font>
    <font>
      <i/>
      <sz val="16"/>
      <color rgb="FFFF0000"/>
      <name val="Arial Cyr"/>
    </font>
    <font>
      <sz val="10"/>
      <color rgb="FF0000FF"/>
      <name val="Arial Cyr"/>
    </font>
    <font>
      <b/>
      <i/>
      <sz val="15"/>
      <color theme="1"/>
      <name val="Times New Roman"/>
      <family val="1"/>
      <charset val="204"/>
    </font>
    <font>
      <b/>
      <sz val="14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</borders>
  <cellStyleXfs count="1515">
    <xf numFmtId="0" fontId="0" fillId="0" borderId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1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4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1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5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1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6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1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7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1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8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1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9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1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0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1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1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1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2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1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3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1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4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1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0" fillId="15" borderId="0" applyNumberFormat="0" applyBorder="0" applyAlignment="0" applyProtection="0"/>
    <xf numFmtId="0" fontId="92" fillId="16" borderId="0" applyNumberFormat="0" applyBorder="0" applyAlignment="0" applyProtection="0"/>
    <xf numFmtId="0" fontId="93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6" borderId="0" applyNumberFormat="0" applyBorder="0" applyAlignment="0" applyProtection="0"/>
    <xf numFmtId="0" fontId="90" fillId="16" borderId="0" applyNumberFormat="0" applyBorder="0" applyAlignment="0" applyProtection="0"/>
    <xf numFmtId="0" fontId="90" fillId="16" borderId="0" applyNumberFormat="0" applyBorder="0" applyAlignment="0" applyProtection="0"/>
    <xf numFmtId="0" fontId="92" fillId="17" borderId="0" applyNumberFormat="0" applyBorder="0" applyAlignment="0" applyProtection="0"/>
    <xf numFmtId="0" fontId="93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7" borderId="0" applyNumberFormat="0" applyBorder="0" applyAlignment="0" applyProtection="0"/>
    <xf numFmtId="0" fontId="90" fillId="17" borderId="0" applyNumberFormat="0" applyBorder="0" applyAlignment="0" applyProtection="0"/>
    <xf numFmtId="0" fontId="90" fillId="17" borderId="0" applyNumberFormat="0" applyBorder="0" applyAlignment="0" applyProtection="0"/>
    <xf numFmtId="0" fontId="92" fillId="18" borderId="0" applyNumberFormat="0" applyBorder="0" applyAlignment="0" applyProtection="0"/>
    <xf numFmtId="0" fontId="93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8" borderId="0" applyNumberFormat="0" applyBorder="0" applyAlignment="0" applyProtection="0"/>
    <xf numFmtId="0" fontId="90" fillId="18" borderId="0" applyNumberFormat="0" applyBorder="0" applyAlignment="0" applyProtection="0"/>
    <xf numFmtId="0" fontId="90" fillId="18" borderId="0" applyNumberFormat="0" applyBorder="0" applyAlignment="0" applyProtection="0"/>
    <xf numFmtId="0" fontId="92" fillId="19" borderId="0" applyNumberFormat="0" applyBorder="0" applyAlignment="0" applyProtection="0"/>
    <xf numFmtId="0" fontId="93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19" borderId="0" applyNumberFormat="0" applyBorder="0" applyAlignment="0" applyProtection="0"/>
    <xf numFmtId="0" fontId="90" fillId="19" borderId="0" applyNumberFormat="0" applyBorder="0" applyAlignment="0" applyProtection="0"/>
    <xf numFmtId="0" fontId="90" fillId="19" borderId="0" applyNumberFormat="0" applyBorder="0" applyAlignment="0" applyProtection="0"/>
    <xf numFmtId="0" fontId="92" fillId="20" borderId="0" applyNumberFormat="0" applyBorder="0" applyAlignment="0" applyProtection="0"/>
    <xf numFmtId="0" fontId="93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0" borderId="0" applyNumberFormat="0" applyBorder="0" applyAlignment="0" applyProtection="0"/>
    <xf numFmtId="0" fontId="90" fillId="20" borderId="0" applyNumberFormat="0" applyBorder="0" applyAlignment="0" applyProtection="0"/>
    <xf numFmtId="0" fontId="90" fillId="20" borderId="0" applyNumberFormat="0" applyBorder="0" applyAlignment="0" applyProtection="0"/>
    <xf numFmtId="0" fontId="92" fillId="21" borderId="0" applyNumberFormat="0" applyBorder="0" applyAlignment="0" applyProtection="0"/>
    <xf numFmtId="0" fontId="93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2" fillId="21" borderId="0" applyNumberFormat="0" applyBorder="0" applyAlignment="0" applyProtection="0"/>
    <xf numFmtId="0" fontId="90" fillId="21" borderId="0" applyNumberFormat="0" applyBorder="0" applyAlignment="0" applyProtection="0"/>
    <xf numFmtId="0" fontId="92" fillId="21" borderId="0" applyNumberFormat="0" applyBorder="0" applyAlignment="0" applyProtection="0"/>
    <xf numFmtId="0" fontId="90" fillId="21" borderId="0" applyNumberFormat="0" applyBorder="0" applyAlignment="0" applyProtection="0"/>
    <xf numFmtId="0" fontId="90" fillId="21" borderId="0" applyNumberFormat="0" applyBorder="0" applyAlignment="0" applyProtection="0"/>
    <xf numFmtId="0" fontId="94" fillId="0" borderId="0">
      <alignment horizontal="left" vertical="top"/>
    </xf>
    <xf numFmtId="0" fontId="95" fillId="0" borderId="0">
      <alignment horizontal="left" vertical="top"/>
    </xf>
    <xf numFmtId="0" fontId="95" fillId="0" borderId="0">
      <alignment horizontal="left" vertical="top"/>
    </xf>
    <xf numFmtId="0" fontId="96" fillId="0" borderId="0">
      <alignment horizontal="right" vertical="top"/>
    </xf>
    <xf numFmtId="0" fontId="96" fillId="0" borderId="0">
      <alignment horizontal="center" vertical="top"/>
    </xf>
    <xf numFmtId="0" fontId="95" fillId="0" borderId="0">
      <alignment horizontal="right" vertical="top"/>
    </xf>
    <xf numFmtId="0" fontId="95" fillId="0" borderId="0">
      <alignment horizontal="center" vertical="top"/>
    </xf>
    <xf numFmtId="0" fontId="97" fillId="0" borderId="0">
      <alignment horizontal="center" vertical="top"/>
    </xf>
    <xf numFmtId="0" fontId="95" fillId="0" borderId="0">
      <alignment horizontal="center" vertical="top"/>
    </xf>
    <xf numFmtId="0" fontId="98" fillId="0" borderId="0">
      <alignment horizontal="center" vertical="top"/>
    </xf>
    <xf numFmtId="0" fontId="98" fillId="0" borderId="0">
      <alignment horizontal="center" vertical="top"/>
    </xf>
    <xf numFmtId="0" fontId="98" fillId="0" borderId="0">
      <alignment horizontal="left" vertical="top"/>
    </xf>
    <xf numFmtId="0" fontId="98" fillId="0" borderId="0">
      <alignment horizontal="right" vertical="top"/>
    </xf>
    <xf numFmtId="0" fontId="94" fillId="0" borderId="0">
      <alignment horizontal="left" vertical="top"/>
    </xf>
    <xf numFmtId="0" fontId="92" fillId="22" borderId="0" applyNumberFormat="0" applyBorder="0" applyAlignment="0" applyProtection="0"/>
    <xf numFmtId="0" fontId="93" fillId="22" borderId="0" applyNumberFormat="0" applyBorder="0" applyAlignment="0" applyProtection="0"/>
    <xf numFmtId="0" fontId="92" fillId="23" borderId="0" applyNumberFormat="0" applyBorder="0" applyAlignment="0" applyProtection="0"/>
    <xf numFmtId="0" fontId="93" fillId="23" borderId="0" applyNumberFormat="0" applyBorder="0" applyAlignment="0" applyProtection="0"/>
    <xf numFmtId="0" fontId="92" fillId="24" borderId="0" applyNumberFormat="0" applyBorder="0" applyAlignment="0" applyProtection="0"/>
    <xf numFmtId="0" fontId="93" fillId="24" borderId="0" applyNumberFormat="0" applyBorder="0" applyAlignment="0" applyProtection="0"/>
    <xf numFmtId="0" fontId="92" fillId="25" borderId="0" applyNumberFormat="0" applyBorder="0" applyAlignment="0" applyProtection="0"/>
    <xf numFmtId="0" fontId="93" fillId="25" borderId="0" applyNumberFormat="0" applyBorder="0" applyAlignment="0" applyProtection="0"/>
    <xf numFmtId="0" fontId="92" fillId="26" borderId="0" applyNumberFormat="0" applyBorder="0" applyAlignment="0" applyProtection="0"/>
    <xf numFmtId="0" fontId="93" fillId="26" borderId="0" applyNumberFormat="0" applyBorder="0" applyAlignment="0" applyProtection="0"/>
    <xf numFmtId="0" fontId="92" fillId="27" borderId="0" applyNumberFormat="0" applyBorder="0" applyAlignment="0" applyProtection="0"/>
    <xf numFmtId="0" fontId="93" fillId="27" borderId="0" applyNumberFormat="0" applyBorder="0" applyAlignment="0" applyProtection="0"/>
    <xf numFmtId="0" fontId="99" fillId="28" borderId="171" applyNumberFormat="0" applyAlignment="0" applyProtection="0"/>
    <xf numFmtId="0" fontId="100" fillId="28" borderId="171" applyNumberFormat="0" applyAlignment="0" applyProtection="0"/>
    <xf numFmtId="0" fontId="101" fillId="29" borderId="172" applyNumberFormat="0" applyAlignment="0" applyProtection="0"/>
    <xf numFmtId="0" fontId="102" fillId="29" borderId="172" applyNumberFormat="0" applyAlignment="0" applyProtection="0"/>
    <xf numFmtId="0" fontId="103" fillId="29" borderId="171" applyNumberFormat="0" applyAlignment="0" applyProtection="0"/>
    <xf numFmtId="0" fontId="104" fillId="29" borderId="171" applyNumberFormat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5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106" fillId="0" borderId="0" applyNumberFormat="0" applyFill="0" applyBorder="0" applyAlignment="0" applyProtection="0"/>
    <xf numFmtId="171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107" fillId="0" borderId="173" applyNumberFormat="0" applyFill="0" applyAlignment="0" applyProtection="0"/>
    <xf numFmtId="0" fontId="108" fillId="0" borderId="173" applyNumberFormat="0" applyFill="0" applyAlignment="0" applyProtection="0"/>
    <xf numFmtId="0" fontId="109" fillId="0" borderId="174" applyNumberFormat="0" applyFill="0" applyAlignment="0" applyProtection="0"/>
    <xf numFmtId="0" fontId="110" fillId="0" borderId="174" applyNumberFormat="0" applyFill="0" applyAlignment="0" applyProtection="0"/>
    <xf numFmtId="0" fontId="111" fillId="0" borderId="175" applyNumberFormat="0" applyFill="0" applyAlignment="0" applyProtection="0"/>
    <xf numFmtId="0" fontId="112" fillId="0" borderId="175" applyNumberFormat="0" applyFill="0" applyAlignment="0" applyProtection="0"/>
    <xf numFmtId="0" fontId="111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176" applyNumberFormat="0" applyFill="0" applyAlignment="0" applyProtection="0"/>
    <xf numFmtId="0" fontId="114" fillId="0" borderId="176" applyNumberFormat="0" applyFill="0" applyAlignment="0" applyProtection="0"/>
    <xf numFmtId="0" fontId="115" fillId="30" borderId="177" applyNumberFormat="0" applyAlignment="0" applyProtection="0"/>
    <xf numFmtId="0" fontId="116" fillId="30" borderId="177" applyNumberFormat="0" applyAlignment="0" applyProtection="0"/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31" borderId="0" applyNumberFormat="0" applyBorder="0" applyAlignment="0" applyProtection="0"/>
    <xf numFmtId="0" fontId="120" fillId="31" borderId="0" applyNumberFormat="0" applyBorder="0" applyAlignment="0" applyProtection="0"/>
    <xf numFmtId="0" fontId="120" fillId="31" borderId="0" applyNumberFormat="0" applyBorder="0" applyAlignment="0" applyProtection="0"/>
    <xf numFmtId="0" fontId="121" fillId="31" borderId="0" applyNumberFormat="0" applyBorder="0" applyAlignment="0" applyProtection="0"/>
    <xf numFmtId="0" fontId="121" fillId="31" borderId="0" applyNumberFormat="0" applyBorder="0" applyAlignment="0" applyProtection="0"/>
    <xf numFmtId="0" fontId="119" fillId="31" borderId="0" applyNumberFormat="0" applyBorder="0" applyAlignment="0" applyProtection="0"/>
    <xf numFmtId="0" fontId="119" fillId="31" borderId="0" applyNumberFormat="0" applyBorder="0" applyAlignment="0" applyProtection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1" fillId="0" borderId="0"/>
    <xf numFmtId="0" fontId="82" fillId="0" borderId="0">
      <alignment vertical="top"/>
    </xf>
    <xf numFmtId="0" fontId="81" fillId="0" borderId="0">
      <alignment vertical="top"/>
    </xf>
    <xf numFmtId="0" fontId="90" fillId="0" borderId="0"/>
    <xf numFmtId="0" fontId="83" fillId="0" borderId="0"/>
    <xf numFmtId="0" fontId="91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122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2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3" fillId="0" borderId="0"/>
    <xf numFmtId="0" fontId="32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123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91" fillId="0" borderId="0"/>
    <xf numFmtId="0" fontId="90" fillId="0" borderId="0"/>
    <xf numFmtId="0" fontId="90" fillId="0" borderId="0"/>
    <xf numFmtId="0" fontId="90" fillId="0" borderId="0"/>
    <xf numFmtId="0" fontId="90" fillId="0" borderId="0"/>
    <xf numFmtId="0" fontId="124" fillId="32" borderId="0" applyNumberFormat="0" applyBorder="0" applyAlignment="0" applyProtection="0"/>
    <xf numFmtId="0" fontId="125" fillId="32" borderId="0" applyNumberFormat="0" applyBorder="0" applyAlignment="0" applyProtection="0"/>
    <xf numFmtId="0" fontId="126" fillId="0" borderId="0" applyNumberFormat="0" applyFill="0" applyBorder="0" applyAlignment="0" applyProtection="0"/>
    <xf numFmtId="0" fontId="127" fillId="0" borderId="0" applyNumberFormat="0" applyFill="0" applyBorder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0" fillId="33" borderId="178" applyNumberFormat="0" applyFont="0" applyAlignment="0" applyProtection="0"/>
    <xf numFmtId="0" fontId="91" fillId="33" borderId="178" applyNumberFormat="0" applyFont="0" applyAlignment="0" applyProtection="0"/>
    <xf numFmtId="0" fontId="91" fillId="33" borderId="178" applyNumberFormat="0" applyFont="0" applyAlignment="0" applyProtection="0"/>
    <xf numFmtId="0" fontId="91" fillId="33" borderId="178" applyNumberFormat="0" applyFont="0" applyAlignment="0" applyProtection="0"/>
    <xf numFmtId="0" fontId="90" fillId="33" borderId="178" applyNumberFormat="0" applyFont="0" applyAlignment="0" applyProtection="0"/>
    <xf numFmtId="9" fontId="1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90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28" fillId="0" borderId="179" applyNumberFormat="0" applyFill="0" applyAlignment="0" applyProtection="0"/>
    <xf numFmtId="0" fontId="129" fillId="0" borderId="179" applyNumberFormat="0" applyFill="0" applyAlignment="0" applyProtection="0"/>
    <xf numFmtId="0" fontId="130" fillId="0" borderId="0" applyNumberFormat="0" applyFill="0" applyBorder="0" applyAlignment="0" applyProtection="0"/>
    <xf numFmtId="0" fontId="131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7" fontId="3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165" fontId="90" fillId="0" borderId="0" applyFont="0" applyFill="0" applyBorder="0" applyAlignment="0" applyProtection="0"/>
    <xf numFmtId="0" fontId="132" fillId="34" borderId="0" applyNumberFormat="0" applyBorder="0" applyAlignment="0" applyProtection="0"/>
    <xf numFmtId="0" fontId="133" fillId="34" borderId="0" applyNumberFormat="0" applyBorder="0" applyAlignment="0" applyProtection="0"/>
  </cellStyleXfs>
  <cellXfs count="926">
    <xf numFmtId="0" fontId="0" fillId="0" borderId="0" xfId="0"/>
    <xf numFmtId="0" fontId="6" fillId="0" borderId="0" xfId="1213" applyFont="1" applyAlignment="1" applyProtection="1">
      <alignment horizontal="center" vertical="top"/>
      <protection hidden="1"/>
    </xf>
    <xf numFmtId="0" fontId="5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horizontal="center" vertical="top"/>
      <protection hidden="1"/>
    </xf>
    <xf numFmtId="0" fontId="6" fillId="0" borderId="0" xfId="1213" applyFont="1" applyAlignment="1" applyProtection="1">
      <alignment vertical="top"/>
      <protection hidden="1"/>
    </xf>
    <xf numFmtId="0" fontId="8" fillId="0" borderId="0" xfId="1213" applyFont="1" applyAlignment="1" applyProtection="1">
      <alignment horizontal="center" vertical="center" wrapText="1"/>
      <protection hidden="1"/>
    </xf>
    <xf numFmtId="0" fontId="34" fillId="0" borderId="0" xfId="1213" applyFont="1" applyAlignment="1" applyProtection="1">
      <alignment vertical="center"/>
      <protection hidden="1"/>
    </xf>
    <xf numFmtId="0" fontId="35" fillId="0" borderId="0" xfId="1213" applyFont="1" applyAlignment="1" applyProtection="1">
      <alignment horizontal="center" vertical="top" wrapText="1"/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12" fillId="0" borderId="0" xfId="0" applyFont="1" applyAlignment="1" applyProtection="1">
      <alignment vertical="center" wrapText="1"/>
      <protection hidden="1"/>
    </xf>
    <xf numFmtId="2" fontId="6" fillId="0" borderId="0" xfId="0" applyNumberFormat="1" applyFont="1" applyAlignment="1" applyProtection="1">
      <alignment vertical="top" shrinkToFit="1"/>
      <protection hidden="1"/>
    </xf>
    <xf numFmtId="0" fontId="9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vertical="center" wrapText="1"/>
      <protection hidden="1"/>
    </xf>
    <xf numFmtId="0" fontId="36" fillId="0" borderId="0" xfId="1213" applyFont="1" applyAlignment="1" applyProtection="1">
      <alignment vertical="top"/>
      <protection hidden="1"/>
    </xf>
    <xf numFmtId="0" fontId="37" fillId="0" borderId="0" xfId="1213" applyFont="1" applyAlignment="1" applyProtection="1">
      <alignment vertical="top"/>
      <protection hidden="1"/>
    </xf>
    <xf numFmtId="0" fontId="11" fillId="0" borderId="0" xfId="0" applyFont="1" applyAlignment="1" applyProtection="1">
      <alignment vertical="top" wrapText="1"/>
      <protection hidden="1"/>
    </xf>
    <xf numFmtId="0" fontId="38" fillId="0" borderId="0" xfId="0" applyFont="1" applyAlignment="1" applyProtection="1">
      <alignment vertical="center" wrapText="1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vertical="center"/>
      <protection hidden="1"/>
    </xf>
    <xf numFmtId="4" fontId="11" fillId="0" borderId="0" xfId="0" applyNumberFormat="1" applyFont="1" applyAlignment="1" applyProtection="1">
      <alignment vertical="center" shrinkToFit="1"/>
      <protection hidden="1"/>
    </xf>
    <xf numFmtId="0" fontId="11" fillId="0" borderId="0" xfId="0" applyFont="1" applyAlignment="1" applyProtection="1">
      <alignment horizontal="center" vertical="top" shrinkToFit="1"/>
      <protection hidden="1"/>
    </xf>
    <xf numFmtId="2" fontId="11" fillId="0" borderId="0" xfId="0" applyNumberFormat="1" applyFont="1" applyAlignment="1" applyProtection="1">
      <alignment horizontal="center" vertical="top" shrinkToFit="1"/>
      <protection hidden="1"/>
    </xf>
    <xf numFmtId="0" fontId="11" fillId="0" borderId="0" xfId="0" applyFont="1" applyAlignment="1" applyProtection="1">
      <alignment vertical="center" shrinkToFit="1"/>
      <protection hidden="1"/>
    </xf>
    <xf numFmtId="0" fontId="6" fillId="0" borderId="0" xfId="0" applyFont="1" applyAlignment="1" applyProtection="1">
      <alignment vertical="top"/>
      <protection hidden="1"/>
    </xf>
    <xf numFmtId="0" fontId="14" fillId="0" borderId="0" xfId="1213" applyFont="1" applyAlignment="1" applyProtection="1">
      <alignment horizontal="center" vertical="top"/>
      <protection hidden="1"/>
    </xf>
    <xf numFmtId="0" fontId="18" fillId="0" borderId="0" xfId="1213" applyFont="1" applyAlignment="1" applyProtection="1">
      <alignment vertical="center"/>
      <protection hidden="1"/>
    </xf>
    <xf numFmtId="0" fontId="39" fillId="0" borderId="0" xfId="1213" applyFont="1" applyAlignment="1" applyProtection="1">
      <alignment vertical="top"/>
      <protection hidden="1"/>
    </xf>
    <xf numFmtId="0" fontId="35" fillId="0" borderId="0" xfId="0" applyFont="1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vertical="center" wrapText="1"/>
      <protection hidden="1"/>
    </xf>
    <xf numFmtId="3" fontId="16" fillId="0" borderId="0" xfId="0" applyNumberFormat="1" applyFont="1" applyAlignment="1" applyProtection="1">
      <alignment horizontal="center" vertical="center"/>
      <protection hidden="1"/>
    </xf>
    <xf numFmtId="4" fontId="6" fillId="0" borderId="0" xfId="0" applyNumberFormat="1" applyFont="1" applyAlignment="1" applyProtection="1">
      <alignment horizontal="right" vertical="center" shrinkToFit="1"/>
      <protection hidden="1"/>
    </xf>
    <xf numFmtId="0" fontId="41" fillId="0" borderId="0" xfId="1213" applyFont="1" applyAlignment="1" applyProtection="1">
      <alignment vertical="center"/>
      <protection hidden="1"/>
    </xf>
    <xf numFmtId="14" fontId="35" fillId="0" borderId="0" xfId="1213" applyNumberFormat="1" applyFont="1" applyAlignment="1" applyProtection="1">
      <alignment horizontal="center" vertical="center" shrinkToFit="1"/>
      <protection hidden="1"/>
    </xf>
    <xf numFmtId="14" fontId="35" fillId="0" borderId="0" xfId="1213" applyNumberFormat="1" applyFont="1" applyAlignment="1" applyProtection="1">
      <alignment horizontal="center" vertical="center"/>
      <protection hidden="1"/>
    </xf>
    <xf numFmtId="3" fontId="23" fillId="0" borderId="0" xfId="0" applyNumberFormat="1" applyFont="1" applyAlignment="1" applyProtection="1">
      <alignment horizontal="center" vertical="center" shrinkToFit="1"/>
      <protection hidden="1"/>
    </xf>
    <xf numFmtId="4" fontId="8" fillId="0" borderId="0" xfId="0" applyNumberFormat="1" applyFont="1" applyAlignment="1" applyProtection="1">
      <alignment horizontal="right" vertical="center" shrinkToFit="1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0" fontId="8" fillId="0" borderId="3" xfId="0" applyFont="1" applyBorder="1" applyAlignment="1" applyProtection="1">
      <alignment horizontal="center" vertical="center" wrapText="1"/>
      <protection hidden="1"/>
    </xf>
    <xf numFmtId="0" fontId="43" fillId="0" borderId="0" xfId="1213" applyFont="1" applyAlignment="1" applyProtection="1">
      <alignment vertical="top"/>
      <protection hidden="1"/>
    </xf>
    <xf numFmtId="0" fontId="44" fillId="0" borderId="0" xfId="1213" applyFont="1" applyAlignment="1" applyProtection="1">
      <alignment horizontal="right" vertical="top"/>
      <protection hidden="1"/>
    </xf>
    <xf numFmtId="0" fontId="45" fillId="0" borderId="0" xfId="1213" applyFont="1" applyAlignment="1" applyProtection="1">
      <alignment horizontal="right" vertical="center"/>
      <protection hidden="1"/>
    </xf>
    <xf numFmtId="0" fontId="7" fillId="0" borderId="0" xfId="0" applyFont="1" applyAlignment="1" applyProtection="1">
      <alignment vertical="top" wrapText="1"/>
      <protection hidden="1"/>
    </xf>
    <xf numFmtId="14" fontId="46" fillId="0" borderId="0" xfId="1213" applyNumberFormat="1" applyFont="1" applyAlignment="1" applyProtection="1">
      <alignment horizontal="center" vertical="top"/>
      <protection hidden="1"/>
    </xf>
    <xf numFmtId="14" fontId="38" fillId="0" borderId="0" xfId="1213" applyNumberFormat="1" applyFont="1" applyAlignment="1" applyProtection="1">
      <alignment vertical="top" shrinkToFit="1"/>
      <protection hidden="1"/>
    </xf>
    <xf numFmtId="0" fontId="43" fillId="0" borderId="4" xfId="1213" applyFont="1" applyBorder="1" applyAlignment="1" applyProtection="1">
      <alignment vertical="center"/>
      <protection hidden="1"/>
    </xf>
    <xf numFmtId="0" fontId="48" fillId="0" borderId="0" xfId="1213" applyFont="1" applyAlignment="1" applyProtection="1">
      <alignment horizontal="center"/>
      <protection hidden="1"/>
    </xf>
    <xf numFmtId="14" fontId="49" fillId="2" borderId="0" xfId="1213" applyNumberFormat="1" applyFont="1" applyFill="1" applyAlignment="1" applyProtection="1">
      <alignment horizontal="center" vertical="center"/>
      <protection hidden="1"/>
    </xf>
    <xf numFmtId="0" fontId="50" fillId="0" borderId="0" xfId="1213" applyFont="1" applyAlignment="1" applyProtection="1">
      <alignment vertical="top"/>
      <protection hidden="1"/>
    </xf>
    <xf numFmtId="0" fontId="35" fillId="0" borderId="0" xfId="1213" applyFont="1" applyAlignment="1" applyProtection="1">
      <alignment vertical="top"/>
      <protection hidden="1"/>
    </xf>
    <xf numFmtId="0" fontId="51" fillId="0" borderId="0" xfId="1213" applyFont="1" applyAlignment="1" applyProtection="1">
      <alignment vertical="top"/>
      <protection hidden="1"/>
    </xf>
    <xf numFmtId="0" fontId="46" fillId="0" borderId="0" xfId="1213" applyFont="1" applyAlignment="1" applyProtection="1">
      <alignment horizontal="center" vertical="top" wrapText="1"/>
      <protection hidden="1"/>
    </xf>
    <xf numFmtId="0" fontId="52" fillId="0" borderId="0" xfId="1213" applyFont="1" applyAlignment="1" applyProtection="1">
      <alignment horizontal="center" vertical="top" wrapText="1"/>
      <protection hidden="1"/>
    </xf>
    <xf numFmtId="0" fontId="28" fillId="0" borderId="0" xfId="0" applyFont="1" applyProtection="1">
      <protection hidden="1"/>
    </xf>
    <xf numFmtId="0" fontId="28" fillId="0" borderId="0" xfId="0" applyFont="1"/>
    <xf numFmtId="0" fontId="23" fillId="0" borderId="0" xfId="0" applyFont="1"/>
    <xf numFmtId="0" fontId="53" fillId="0" borderId="0" xfId="1213" applyFont="1" applyAlignment="1" applyProtection="1">
      <alignment vertical="center"/>
      <protection hidden="1"/>
    </xf>
    <xf numFmtId="14" fontId="46" fillId="0" borderId="0" xfId="1213" applyNumberFormat="1" applyFont="1" applyAlignment="1" applyProtection="1">
      <alignment horizontal="center" vertical="center"/>
      <protection hidden="1"/>
    </xf>
    <xf numFmtId="14" fontId="47" fillId="0" borderId="0" xfId="1213" applyNumberFormat="1" applyFont="1" applyAlignment="1" applyProtection="1">
      <alignment horizontal="center" vertical="center"/>
      <protection hidden="1"/>
    </xf>
    <xf numFmtId="0" fontId="34" fillId="0" borderId="0" xfId="1213" applyFont="1" applyAlignment="1" applyProtection="1">
      <alignment horizontal="center" vertical="center" textRotation="90"/>
      <protection hidden="1"/>
    </xf>
    <xf numFmtId="0" fontId="34" fillId="0" borderId="0" xfId="1213" applyFont="1" applyAlignment="1" applyProtection="1">
      <alignment horizontal="center" vertical="center"/>
      <protection hidden="1"/>
    </xf>
    <xf numFmtId="0" fontId="50" fillId="0" borderId="0" xfId="1213" applyFont="1" applyAlignment="1" applyProtection="1">
      <alignment horizontal="center" vertical="center"/>
      <protection hidden="1"/>
    </xf>
    <xf numFmtId="0" fontId="35" fillId="0" borderId="0" xfId="1213" applyFont="1" applyAlignment="1" applyProtection="1">
      <alignment horizontal="center" vertical="center"/>
      <protection hidden="1"/>
    </xf>
    <xf numFmtId="0" fontId="2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43" fillId="0" borderId="0" xfId="1213" applyFont="1" applyAlignment="1" applyProtection="1">
      <alignment horizontal="center" vertical="center"/>
      <protection hidden="1"/>
    </xf>
    <xf numFmtId="0" fontId="55" fillId="0" borderId="0" xfId="1213" applyFont="1" applyAlignment="1" applyProtection="1">
      <alignment vertical="center"/>
      <protection hidden="1"/>
    </xf>
    <xf numFmtId="0" fontId="56" fillId="0" borderId="0" xfId="1213" applyFont="1" applyAlignment="1" applyProtection="1">
      <alignment horizontal="center" vertical="center" wrapText="1"/>
      <protection hidden="1"/>
    </xf>
    <xf numFmtId="0" fontId="40" fillId="0" borderId="0" xfId="1213" applyFont="1" applyAlignment="1" applyProtection="1">
      <alignment horizontal="center" vertical="center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0" fontId="45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45" fillId="0" borderId="0" xfId="1213" applyFont="1" applyAlignment="1" applyProtection="1">
      <alignment vertical="center"/>
      <protection hidden="1"/>
    </xf>
    <xf numFmtId="0" fontId="10" fillId="0" borderId="0" xfId="0" applyFont="1" applyAlignment="1" applyProtection="1">
      <alignment vertical="top" shrinkToFit="1"/>
      <protection hidden="1"/>
    </xf>
    <xf numFmtId="0" fontId="18" fillId="0" borderId="0" xfId="0" applyFont="1" applyProtection="1">
      <protection hidden="1"/>
    </xf>
    <xf numFmtId="3" fontId="54" fillId="0" borderId="0" xfId="0" applyNumberFormat="1" applyFont="1" applyAlignment="1" applyProtection="1">
      <alignment horizontal="center" vertical="center" shrinkToFit="1"/>
      <protection hidden="1"/>
    </xf>
    <xf numFmtId="3" fontId="17" fillId="0" borderId="0" xfId="0" applyNumberFormat="1" applyFont="1" applyAlignment="1" applyProtection="1">
      <alignment horizontal="center" vertical="center" shrinkToFit="1"/>
      <protection hidden="1"/>
    </xf>
    <xf numFmtId="0" fontId="41" fillId="0" borderId="0" xfId="1213" applyFont="1" applyAlignment="1" applyProtection="1">
      <alignment horizontal="left" vertical="center"/>
      <protection hidden="1"/>
    </xf>
    <xf numFmtId="0" fontId="29" fillId="0" borderId="0" xfId="1155" applyFont="1" applyFill="1" applyAlignment="1" applyProtection="1">
      <protection hidden="1"/>
    </xf>
    <xf numFmtId="0" fontId="30" fillId="0" borderId="0" xfId="0" applyFont="1" applyProtection="1">
      <protection hidden="1"/>
    </xf>
    <xf numFmtId="0" fontId="23" fillId="0" borderId="0" xfId="0" applyFont="1" applyProtection="1">
      <protection hidden="1"/>
    </xf>
    <xf numFmtId="4" fontId="11" fillId="0" borderId="0" xfId="0" applyNumberFormat="1" applyFont="1" applyAlignment="1" applyProtection="1">
      <alignment horizontal="right" vertical="center" shrinkToFit="1"/>
      <protection hidden="1"/>
    </xf>
    <xf numFmtId="0" fontId="32" fillId="0" borderId="0" xfId="1299"/>
    <xf numFmtId="0" fontId="32" fillId="0" borderId="0" xfId="1299" applyAlignment="1">
      <alignment vertical="center"/>
    </xf>
    <xf numFmtId="0" fontId="69" fillId="0" borderId="0" xfId="1213" applyFont="1" applyAlignment="1" applyProtection="1">
      <alignment horizontal="center" vertical="center"/>
      <protection hidden="1"/>
    </xf>
    <xf numFmtId="0" fontId="69" fillId="0" borderId="0" xfId="1213" applyFont="1" applyAlignment="1" applyProtection="1">
      <alignment vertical="top"/>
      <protection hidden="1"/>
    </xf>
    <xf numFmtId="4" fontId="28" fillId="0" borderId="0" xfId="0" applyNumberFormat="1" applyFont="1" applyProtection="1">
      <protection hidden="1"/>
    </xf>
    <xf numFmtId="14" fontId="28" fillId="0" borderId="0" xfId="0" applyNumberFormat="1" applyFont="1" applyProtection="1">
      <protection hidden="1"/>
    </xf>
    <xf numFmtId="0" fontId="72" fillId="0" borderId="0" xfId="0" applyFont="1" applyAlignment="1">
      <alignment horizontal="left" vertical="center"/>
    </xf>
    <xf numFmtId="4" fontId="71" fillId="0" borderId="0" xfId="0" applyNumberFormat="1" applyFont="1" applyAlignment="1" applyProtection="1">
      <alignment horizontal="center" vertical="center"/>
      <protection hidden="1"/>
    </xf>
    <xf numFmtId="3" fontId="73" fillId="0" borderId="0" xfId="0" applyNumberFormat="1" applyFont="1" applyAlignment="1" applyProtection="1">
      <alignment horizontal="center" vertical="center" shrinkToFit="1"/>
      <protection hidden="1"/>
    </xf>
    <xf numFmtId="3" fontId="28" fillId="0" borderId="0" xfId="0" applyNumberFormat="1" applyFont="1" applyAlignment="1" applyProtection="1">
      <alignment horizontal="center" vertical="center" shrinkToFit="1"/>
      <protection hidden="1"/>
    </xf>
    <xf numFmtId="0" fontId="50" fillId="0" borderId="5" xfId="1213" applyFont="1" applyBorder="1" applyAlignment="1" applyProtection="1">
      <alignment horizontal="center" vertical="top"/>
      <protection hidden="1"/>
    </xf>
    <xf numFmtId="0" fontId="50" fillId="0" borderId="5" xfId="1213" applyFont="1" applyBorder="1" applyAlignment="1" applyProtection="1">
      <alignment horizontal="center" vertical="top" shrinkToFit="1"/>
      <protection hidden="1"/>
    </xf>
    <xf numFmtId="3" fontId="50" fillId="0" borderId="5" xfId="1213" applyNumberFormat="1" applyFont="1" applyBorder="1" applyAlignment="1" applyProtection="1">
      <alignment horizontal="center" vertical="top" shrinkToFit="1"/>
      <protection hidden="1"/>
    </xf>
    <xf numFmtId="170" fontId="50" fillId="0" borderId="5" xfId="1213" applyNumberFormat="1" applyFont="1" applyBorder="1" applyAlignment="1" applyProtection="1">
      <alignment horizontal="center" vertical="top" shrinkToFit="1"/>
      <protection hidden="1"/>
    </xf>
    <xf numFmtId="3" fontId="134" fillId="0" borderId="6" xfId="0" applyNumberFormat="1" applyFont="1" applyBorder="1" applyAlignment="1" applyProtection="1">
      <alignment horizontal="center" vertical="center"/>
      <protection hidden="1"/>
    </xf>
    <xf numFmtId="3" fontId="134" fillId="0" borderId="7" xfId="0" applyNumberFormat="1" applyFont="1" applyBorder="1" applyAlignment="1" applyProtection="1">
      <alignment horizontal="center" vertical="center"/>
      <protection hidden="1"/>
    </xf>
    <xf numFmtId="3" fontId="134" fillId="0" borderId="8" xfId="0" applyNumberFormat="1" applyFont="1" applyBorder="1" applyAlignment="1" applyProtection="1">
      <alignment horizontal="center" vertical="center" shrinkToFit="1"/>
      <protection hidden="1"/>
    </xf>
    <xf numFmtId="4" fontId="134" fillId="3" borderId="9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1" xfId="0" applyNumberFormat="1" applyFont="1" applyFill="1" applyBorder="1" applyAlignment="1" applyProtection="1">
      <alignment horizontal="center" vertical="center" shrinkToFit="1"/>
      <protection locked="0"/>
    </xf>
    <xf numFmtId="3" fontId="134" fillId="2" borderId="11" xfId="0" applyNumberFormat="1" applyFont="1" applyFill="1" applyBorder="1" applyAlignment="1" applyProtection="1">
      <alignment horizontal="center" vertical="center" shrinkToFit="1"/>
      <protection hidden="1"/>
    </xf>
    <xf numFmtId="3" fontId="134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4" fillId="0" borderId="12" xfId="0" applyNumberFormat="1" applyFont="1" applyBorder="1" applyAlignment="1" applyProtection="1">
      <alignment horizontal="center" vertical="center" shrinkToFit="1"/>
      <protection hidden="1"/>
    </xf>
    <xf numFmtId="3" fontId="134" fillId="0" borderId="9" xfId="0" applyNumberFormat="1" applyFont="1" applyBorder="1" applyAlignment="1" applyProtection="1">
      <alignment horizontal="center" vertical="center"/>
      <protection hidden="1"/>
    </xf>
    <xf numFmtId="3" fontId="134" fillId="0" borderId="13" xfId="0" applyNumberFormat="1" applyFont="1" applyBorder="1" applyAlignment="1" applyProtection="1">
      <alignment horizontal="center" vertical="center"/>
      <protection hidden="1"/>
    </xf>
    <xf numFmtId="4" fontId="134" fillId="2" borderId="11" xfId="0" applyNumberFormat="1" applyFont="1" applyFill="1" applyBorder="1" applyAlignment="1" applyProtection="1">
      <alignment horizontal="center" vertical="center" shrinkToFit="1"/>
      <protection hidden="1"/>
    </xf>
    <xf numFmtId="4" fontId="134" fillId="0" borderId="8" xfId="0" applyNumberFormat="1" applyFont="1" applyBorder="1" applyAlignment="1" applyProtection="1">
      <alignment horizontal="center" vertical="center" shrinkToFit="1"/>
      <protection hidden="1"/>
    </xf>
    <xf numFmtId="3" fontId="134" fillId="0" borderId="12" xfId="0" applyNumberFormat="1" applyFont="1" applyBorder="1" applyAlignment="1" applyProtection="1">
      <alignment horizontal="center" vertical="center" shrinkToFit="1"/>
      <protection hidden="1"/>
    </xf>
    <xf numFmtId="4" fontId="134" fillId="3" borderId="14" xfId="0" applyNumberFormat="1" applyFont="1" applyFill="1" applyBorder="1" applyAlignment="1" applyProtection="1">
      <alignment horizontal="center" vertical="center" shrinkToFit="1"/>
      <protection locked="0"/>
    </xf>
    <xf numFmtId="4" fontId="134" fillId="2" borderId="14" xfId="0" applyNumberFormat="1" applyFont="1" applyFill="1" applyBorder="1" applyAlignment="1" applyProtection="1">
      <alignment horizontal="center" vertical="center" shrinkToFit="1"/>
      <protection hidden="1"/>
    </xf>
    <xf numFmtId="3" fontId="134" fillId="3" borderId="15" xfId="0" applyNumberFormat="1" applyFont="1" applyFill="1" applyBorder="1" applyAlignment="1" applyProtection="1">
      <alignment horizontal="center" vertical="center" shrinkToFit="1"/>
      <protection locked="0"/>
    </xf>
    <xf numFmtId="3" fontId="134" fillId="35" borderId="15" xfId="0" applyNumberFormat="1" applyFont="1" applyFill="1" applyBorder="1" applyAlignment="1">
      <alignment horizontal="center" vertical="center" shrinkToFit="1"/>
    </xf>
    <xf numFmtId="3" fontId="134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5" fillId="0" borderId="17" xfId="0" applyNumberFormat="1" applyFont="1" applyBorder="1" applyAlignment="1" applyProtection="1">
      <alignment horizontal="center" vertical="center"/>
      <protection hidden="1"/>
    </xf>
    <xf numFmtId="3" fontId="135" fillId="0" borderId="12" xfId="0" applyNumberFormat="1" applyFont="1" applyBorder="1" applyAlignment="1" applyProtection="1">
      <alignment horizontal="center" vertical="center"/>
      <protection hidden="1"/>
    </xf>
    <xf numFmtId="3" fontId="134" fillId="3" borderId="14" xfId="0" applyNumberFormat="1" applyFont="1" applyFill="1" applyBorder="1" applyAlignment="1" applyProtection="1">
      <alignment horizontal="center" vertical="center" shrinkToFit="1"/>
      <protection locked="0"/>
    </xf>
    <xf numFmtId="0" fontId="136" fillId="0" borderId="11" xfId="0" applyFont="1" applyBorder="1" applyAlignment="1" applyProtection="1">
      <alignment horizontal="center" vertical="center" wrapText="1"/>
      <protection hidden="1"/>
    </xf>
    <xf numFmtId="0" fontId="137" fillId="0" borderId="11" xfId="1213" applyFont="1" applyBorder="1" applyAlignment="1" applyProtection="1">
      <alignment horizontal="center" vertical="center"/>
      <protection hidden="1"/>
    </xf>
    <xf numFmtId="1" fontId="138" fillId="0" borderId="8" xfId="0" applyNumberFormat="1" applyFont="1" applyBorder="1" applyAlignment="1" applyProtection="1">
      <alignment horizontal="center" vertical="center" shrinkToFit="1"/>
      <protection hidden="1"/>
    </xf>
    <xf numFmtId="1" fontId="138" fillId="0" borderId="15" xfId="0" applyNumberFormat="1" applyFont="1" applyBorder="1" applyAlignment="1" applyProtection="1">
      <alignment horizontal="center" vertical="center" shrinkToFit="1"/>
      <protection hidden="1"/>
    </xf>
    <xf numFmtId="3" fontId="138" fillId="0" borderId="15" xfId="0" applyNumberFormat="1" applyFont="1" applyBorder="1" applyAlignment="1" applyProtection="1">
      <alignment horizontal="center" vertical="center" shrinkToFit="1"/>
      <protection hidden="1"/>
    </xf>
    <xf numFmtId="3" fontId="138" fillId="0" borderId="11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0" applyNumberFormat="1" applyFont="1" applyBorder="1" applyAlignment="1" applyProtection="1">
      <alignment horizontal="center" vertical="center" shrinkToFit="1"/>
      <protection hidden="1"/>
    </xf>
    <xf numFmtId="0" fontId="140" fillId="0" borderId="19" xfId="0" applyFont="1" applyBorder="1" applyAlignment="1" applyProtection="1">
      <alignment horizontal="center" vertical="center" shrinkToFit="1"/>
      <protection hidden="1"/>
    </xf>
    <xf numFmtId="3" fontId="139" fillId="3" borderId="6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7" xfId="0" applyNumberFormat="1" applyFont="1" applyFill="1" applyBorder="1" applyAlignment="1" applyProtection="1">
      <alignment horizontal="center" vertical="center" shrinkToFit="1"/>
      <protection locked="0"/>
    </xf>
    <xf numFmtId="0" fontId="140" fillId="0" borderId="20" xfId="0" applyFont="1" applyBorder="1" applyAlignment="1" applyProtection="1">
      <alignment horizontal="center" vertical="center" shrinkToFit="1"/>
      <protection hidden="1"/>
    </xf>
    <xf numFmtId="3" fontId="139" fillId="3" borderId="21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2" xfId="0" applyNumberFormat="1" applyFont="1" applyFill="1" applyBorder="1" applyAlignment="1" applyProtection="1">
      <alignment horizontal="center" vertical="center" shrinkToFit="1"/>
      <protection locked="0"/>
    </xf>
    <xf numFmtId="0" fontId="140" fillId="0" borderId="23" xfId="0" applyFont="1" applyBorder="1" applyAlignment="1" applyProtection="1">
      <alignment horizontal="center" vertical="center" shrinkToFit="1"/>
      <protection hidden="1"/>
    </xf>
    <xf numFmtId="3" fontId="139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3" xfId="0" applyNumberFormat="1" applyFont="1" applyFill="1" applyBorder="1" applyAlignment="1" applyProtection="1">
      <alignment horizontal="center" vertical="center" shrinkToFit="1"/>
      <protection locked="0"/>
    </xf>
    <xf numFmtId="0" fontId="141" fillId="0" borderId="24" xfId="0" applyFont="1" applyBorder="1" applyAlignment="1" applyProtection="1">
      <alignment horizontal="center" vertical="center"/>
      <protection hidden="1"/>
    </xf>
    <xf numFmtId="3" fontId="139" fillId="0" borderId="25" xfId="0" applyNumberFormat="1" applyFont="1" applyBorder="1" applyAlignment="1" applyProtection="1">
      <alignment horizontal="center" vertical="center" shrinkToFit="1"/>
      <protection hidden="1"/>
    </xf>
    <xf numFmtId="3" fontId="139" fillId="0" borderId="26" xfId="0" applyNumberFormat="1" applyFont="1" applyBorder="1" applyAlignment="1" applyProtection="1">
      <alignment horizontal="center" vertical="center" shrinkToFit="1"/>
      <protection hidden="1"/>
    </xf>
    <xf numFmtId="0" fontId="142" fillId="0" borderId="0" xfId="1213" applyFont="1" applyAlignment="1" applyProtection="1">
      <alignment vertical="top"/>
      <protection hidden="1"/>
    </xf>
    <xf numFmtId="0" fontId="143" fillId="0" borderId="0" xfId="0" applyFont="1" applyProtection="1">
      <protection hidden="1"/>
    </xf>
    <xf numFmtId="0" fontId="144" fillId="0" borderId="0" xfId="0" applyFont="1" applyProtection="1">
      <protection hidden="1"/>
    </xf>
    <xf numFmtId="0" fontId="145" fillId="0" borderId="0" xfId="1213" applyFont="1" applyAlignment="1" applyProtection="1">
      <alignment vertical="top"/>
      <protection hidden="1"/>
    </xf>
    <xf numFmtId="0" fontId="146" fillId="0" borderId="0" xfId="1213" applyFont="1" applyAlignment="1" applyProtection="1">
      <alignment vertical="top"/>
      <protection hidden="1"/>
    </xf>
    <xf numFmtId="0" fontId="145" fillId="0" borderId="0" xfId="1213" applyFont="1" applyAlignment="1" applyProtection="1">
      <alignment vertical="center" wrapText="1"/>
      <protection hidden="1"/>
    </xf>
    <xf numFmtId="0" fontId="139" fillId="0" borderId="0" xfId="1213" applyFont="1" applyAlignment="1" applyProtection="1">
      <alignment vertical="center" wrapText="1"/>
      <protection hidden="1"/>
    </xf>
    <xf numFmtId="0" fontId="135" fillId="0" borderId="27" xfId="0" applyFont="1" applyBorder="1" applyAlignment="1" applyProtection="1">
      <alignment vertical="center"/>
      <protection hidden="1"/>
    </xf>
    <xf numFmtId="0" fontId="135" fillId="0" borderId="0" xfId="0" applyFont="1" applyAlignment="1" applyProtection="1">
      <alignment vertical="center" wrapText="1"/>
      <protection hidden="1"/>
    </xf>
    <xf numFmtId="0" fontId="137" fillId="0" borderId="0" xfId="1213" applyFont="1" applyAlignment="1" applyProtection="1">
      <alignment vertical="top"/>
      <protection hidden="1"/>
    </xf>
    <xf numFmtId="0" fontId="144" fillId="0" borderId="0" xfId="1213" applyFont="1" applyAlignment="1" applyProtection="1">
      <alignment vertical="top"/>
      <protection hidden="1"/>
    </xf>
    <xf numFmtId="0" fontId="145" fillId="0" borderId="0" xfId="1213" applyFont="1" applyAlignment="1" applyProtection="1">
      <alignment horizontal="right" vertical="top"/>
      <protection hidden="1"/>
    </xf>
    <xf numFmtId="0" fontId="145" fillId="0" borderId="0" xfId="1213" applyFont="1" applyAlignment="1" applyProtection="1">
      <alignment horizontal="left" vertical="top"/>
      <protection hidden="1"/>
    </xf>
    <xf numFmtId="0" fontId="141" fillId="0" borderId="0" xfId="0" applyFont="1" applyAlignment="1" applyProtection="1">
      <alignment horizontal="center" vertical="center" wrapText="1"/>
      <protection hidden="1"/>
    </xf>
    <xf numFmtId="0" fontId="144" fillId="0" borderId="0" xfId="1213" applyFont="1" applyAlignment="1" applyProtection="1">
      <alignment vertical="center"/>
      <protection hidden="1"/>
    </xf>
    <xf numFmtId="0" fontId="145" fillId="0" borderId="0" xfId="1213" applyFont="1" applyAlignment="1" applyProtection="1">
      <alignment horizontal="center" vertical="top"/>
      <protection hidden="1"/>
    </xf>
    <xf numFmtId="0" fontId="147" fillId="0" borderId="0" xfId="1213" applyFont="1" applyAlignment="1" applyProtection="1">
      <alignment vertical="center"/>
      <protection hidden="1"/>
    </xf>
    <xf numFmtId="0" fontId="148" fillId="0" borderId="0" xfId="0" applyFont="1" applyAlignment="1" applyProtection="1">
      <alignment horizontal="center" vertical="center" wrapText="1"/>
      <protection hidden="1"/>
    </xf>
    <xf numFmtId="0" fontId="134" fillId="0" borderId="28" xfId="0" applyFont="1" applyBorder="1" applyAlignment="1">
      <alignment horizontal="center" vertical="center" wrapText="1"/>
    </xf>
    <xf numFmtId="0" fontId="143" fillId="0" borderId="26" xfId="0" applyFont="1" applyBorder="1"/>
    <xf numFmtId="0" fontId="134" fillId="0" borderId="29" xfId="0" applyFont="1" applyBorder="1" applyAlignment="1">
      <alignment horizontal="center" vertical="center" wrapText="1"/>
    </xf>
    <xf numFmtId="1" fontId="134" fillId="3" borderId="30" xfId="0" applyNumberFormat="1" applyFont="1" applyFill="1" applyBorder="1" applyAlignment="1" applyProtection="1">
      <alignment horizontal="left" vertical="center" shrinkToFit="1"/>
      <protection locked="0"/>
    </xf>
    <xf numFmtId="1" fontId="134" fillId="3" borderId="31" xfId="0" applyNumberFormat="1" applyFont="1" applyFill="1" applyBorder="1" applyAlignment="1" applyProtection="1">
      <alignment horizontal="left" vertical="center" shrinkToFit="1"/>
      <protection locked="0"/>
    </xf>
    <xf numFmtId="3" fontId="5" fillId="0" borderId="0" xfId="1213" applyNumberFormat="1" applyFont="1" applyAlignment="1" applyProtection="1">
      <alignment horizontal="center" vertical="center"/>
      <protection locked="0" hidden="1"/>
    </xf>
    <xf numFmtId="0" fontId="50" fillId="0" borderId="5" xfId="1213" applyFont="1" applyBorder="1" applyAlignment="1" applyProtection="1">
      <alignment horizontal="center" vertical="center"/>
      <protection hidden="1"/>
    </xf>
    <xf numFmtId="3" fontId="50" fillId="0" borderId="5" xfId="1213" applyNumberFormat="1" applyFont="1" applyBorder="1" applyAlignment="1" applyProtection="1">
      <alignment horizontal="center" vertical="center"/>
      <protection hidden="1"/>
    </xf>
    <xf numFmtId="4" fontId="134" fillId="0" borderId="15" xfId="0" applyNumberFormat="1" applyFont="1" applyBorder="1" applyAlignment="1">
      <alignment horizontal="center" vertical="center" shrinkToFit="1"/>
    </xf>
    <xf numFmtId="0" fontId="32" fillId="0" borderId="0" xfId="1299" applyAlignment="1">
      <alignment horizontal="center" vertical="center"/>
    </xf>
    <xf numFmtId="3" fontId="28" fillId="0" borderId="0" xfId="0" applyNumberFormat="1" applyFont="1" applyProtection="1">
      <protection hidden="1"/>
    </xf>
    <xf numFmtId="1" fontId="134" fillId="0" borderId="30" xfId="0" applyNumberFormat="1" applyFont="1" applyBorder="1" applyAlignment="1">
      <alignment horizontal="center" vertical="center" shrinkToFit="1"/>
    </xf>
    <xf numFmtId="170" fontId="143" fillId="0" borderId="33" xfId="0" applyNumberFormat="1" applyFont="1" applyBorder="1" applyAlignment="1">
      <alignment horizontal="center" vertical="center" wrapText="1"/>
    </xf>
    <xf numFmtId="1" fontId="134" fillId="0" borderId="31" xfId="0" applyNumberFormat="1" applyFont="1" applyBorder="1" applyAlignment="1">
      <alignment horizontal="center" vertical="center" shrinkToFit="1"/>
    </xf>
    <xf numFmtId="170" fontId="143" fillId="0" borderId="34" xfId="0" applyNumberFormat="1" applyFont="1" applyBorder="1" applyAlignment="1">
      <alignment horizontal="center" vertical="center" wrapText="1"/>
    </xf>
    <xf numFmtId="3" fontId="79" fillId="0" borderId="15" xfId="0" applyNumberFormat="1" applyFont="1" applyBorder="1" applyAlignment="1">
      <alignment horizontal="center" vertical="center"/>
    </xf>
    <xf numFmtId="0" fontId="149" fillId="0" borderId="0" xfId="1213" applyFont="1" applyAlignment="1" applyProtection="1">
      <alignment vertical="top"/>
      <protection hidden="1"/>
    </xf>
    <xf numFmtId="0" fontId="149" fillId="0" borderId="0" xfId="1213" applyFont="1" applyAlignment="1" applyProtection="1">
      <alignment horizontal="center" vertical="top"/>
      <protection hidden="1"/>
    </xf>
    <xf numFmtId="0" fontId="149" fillId="0" borderId="0" xfId="1213" applyFont="1" applyAlignment="1" applyProtection="1">
      <alignment vertical="top" shrinkToFit="1"/>
      <protection hidden="1"/>
    </xf>
    <xf numFmtId="0" fontId="149" fillId="0" borderId="0" xfId="1213" applyFont="1" applyAlignment="1" applyProtection="1">
      <alignment shrinkToFit="1"/>
      <protection hidden="1"/>
    </xf>
    <xf numFmtId="0" fontId="149" fillId="0" borderId="0" xfId="1213" applyFont="1" applyAlignment="1" applyProtection="1">
      <alignment horizontal="center" vertical="top" shrinkToFit="1"/>
      <protection hidden="1"/>
    </xf>
    <xf numFmtId="14" fontId="50" fillId="0" borderId="0" xfId="1213" applyNumberFormat="1" applyFont="1" applyAlignment="1" applyProtection="1">
      <alignment horizontal="center" vertical="center"/>
      <protection hidden="1"/>
    </xf>
    <xf numFmtId="3" fontId="134" fillId="0" borderId="15" xfId="0" applyNumberFormat="1" applyFont="1" applyBorder="1" applyAlignment="1">
      <alignment horizontal="center" vertical="center" shrinkToFit="1"/>
    </xf>
    <xf numFmtId="1" fontId="50" fillId="0" borderId="15" xfId="1213" applyNumberFormat="1" applyFont="1" applyBorder="1" applyAlignment="1" applyProtection="1">
      <alignment horizontal="center" vertical="center"/>
      <protection hidden="1"/>
    </xf>
    <xf numFmtId="1" fontId="50" fillId="0" borderId="0" xfId="1213" applyNumberFormat="1" applyFont="1" applyAlignment="1" applyProtection="1">
      <alignment horizontal="center" vertical="center"/>
      <protection hidden="1"/>
    </xf>
    <xf numFmtId="0" fontId="146" fillId="0" borderId="0" xfId="1216" applyFont="1" applyAlignment="1" applyProtection="1">
      <alignment horizontal="center" vertical="top"/>
      <protection hidden="1"/>
    </xf>
    <xf numFmtId="0" fontId="137" fillId="0" borderId="0" xfId="1216" applyFont="1" applyAlignment="1" applyProtection="1">
      <alignment vertical="top"/>
      <protection hidden="1"/>
    </xf>
    <xf numFmtId="4" fontId="134" fillId="3" borderId="3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8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6" xfId="0" applyNumberFormat="1" applyFont="1" applyFill="1" applyBorder="1" applyAlignment="1" applyProtection="1">
      <alignment horizontal="center" vertical="center" shrinkToFit="1"/>
      <protection locked="0"/>
    </xf>
    <xf numFmtId="1" fontId="50" fillId="0" borderId="5" xfId="1213" applyNumberFormat="1" applyFont="1" applyBorder="1" applyAlignment="1" applyProtection="1">
      <alignment horizontal="center" vertical="center"/>
      <protection hidden="1"/>
    </xf>
    <xf numFmtId="0" fontId="143" fillId="0" borderId="5" xfId="1216" applyFont="1" applyBorder="1" applyAlignment="1" applyProtection="1">
      <alignment horizontal="center" vertical="center" wrapText="1" shrinkToFit="1"/>
      <protection hidden="1"/>
    </xf>
    <xf numFmtId="4" fontId="150" fillId="0" borderId="5" xfId="1216" applyNumberFormat="1" applyFont="1" applyBorder="1" applyAlignment="1" applyProtection="1">
      <alignment horizontal="center" vertical="center" shrinkToFit="1"/>
      <protection hidden="1"/>
    </xf>
    <xf numFmtId="4" fontId="134" fillId="3" borderId="37" xfId="0" applyNumberFormat="1" applyFont="1" applyFill="1" applyBorder="1" applyAlignment="1" applyProtection="1">
      <alignment horizontal="center" vertical="center" shrinkToFit="1"/>
      <protection locked="0"/>
    </xf>
    <xf numFmtId="3" fontId="145" fillId="0" borderId="38" xfId="1213" applyNumberFormat="1" applyFont="1" applyBorder="1" applyAlignment="1" applyProtection="1">
      <alignment horizontal="center" vertical="center" shrinkToFit="1"/>
      <protection hidden="1"/>
    </xf>
    <xf numFmtId="3" fontId="145" fillId="0" borderId="39" xfId="1213" applyNumberFormat="1" applyFont="1" applyBorder="1" applyAlignment="1" applyProtection="1">
      <alignment horizontal="center" vertical="center" shrinkToFit="1"/>
      <protection hidden="1"/>
    </xf>
    <xf numFmtId="3" fontId="145" fillId="0" borderId="40" xfId="1213" applyNumberFormat="1" applyFont="1" applyBorder="1" applyAlignment="1" applyProtection="1">
      <alignment horizontal="center" vertical="center" shrinkToFit="1"/>
      <protection hidden="1"/>
    </xf>
    <xf numFmtId="3" fontId="145" fillId="0" borderId="17" xfId="1213" applyNumberFormat="1" applyFont="1" applyBorder="1" applyAlignment="1" applyProtection="1">
      <alignment vertical="center" shrinkToFit="1"/>
      <protection hidden="1"/>
    </xf>
    <xf numFmtId="0" fontId="146" fillId="0" borderId="44" xfId="1213" applyFont="1" applyBorder="1" applyAlignment="1" applyProtection="1">
      <alignment horizontal="center" vertical="center" wrapText="1"/>
      <protection hidden="1"/>
    </xf>
    <xf numFmtId="0" fontId="152" fillId="0" borderId="11" xfId="1213" applyFont="1" applyBorder="1" applyAlignment="1" applyProtection="1">
      <alignment horizontal="center" vertical="center" wrapText="1"/>
      <protection hidden="1"/>
    </xf>
    <xf numFmtId="3" fontId="145" fillId="0" borderId="45" xfId="1213" applyNumberFormat="1" applyFont="1" applyBorder="1" applyAlignment="1" applyProtection="1">
      <alignment horizontal="center" vertical="center" shrinkToFit="1"/>
      <protection hidden="1"/>
    </xf>
    <xf numFmtId="3" fontId="145" fillId="0" borderId="46" xfId="1213" applyNumberFormat="1" applyFont="1" applyBorder="1" applyAlignment="1" applyProtection="1">
      <alignment horizontal="center" vertical="center" shrinkToFit="1"/>
      <protection hidden="1"/>
    </xf>
    <xf numFmtId="3" fontId="153" fillId="0" borderId="47" xfId="1213" applyNumberFormat="1" applyFont="1" applyBorder="1" applyAlignment="1" applyProtection="1">
      <alignment horizontal="center" vertical="center" shrinkToFit="1"/>
      <protection hidden="1"/>
    </xf>
    <xf numFmtId="3" fontId="153" fillId="0" borderId="48" xfId="1213" applyNumberFormat="1" applyFont="1" applyBorder="1" applyAlignment="1" applyProtection="1">
      <alignment horizontal="center" vertical="center" shrinkToFit="1"/>
      <protection hidden="1"/>
    </xf>
    <xf numFmtId="0" fontId="28" fillId="0" borderId="15" xfId="0" applyFont="1" applyBorder="1" applyAlignment="1">
      <alignment horizontal="center" vertical="center" shrinkToFit="1"/>
    </xf>
    <xf numFmtId="1" fontId="69" fillId="0" borderId="0" xfId="1213" applyNumberFormat="1" applyFont="1" applyAlignment="1" applyProtection="1">
      <alignment horizontal="center" vertical="center"/>
      <protection hidden="1"/>
    </xf>
    <xf numFmtId="168" fontId="135" fillId="0" borderId="16" xfId="0" applyNumberFormat="1" applyFont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50" fillId="0" borderId="0" xfId="1213" applyFont="1" applyAlignment="1" applyProtection="1">
      <alignment horizontal="left" vertical="center"/>
      <protection hidden="1"/>
    </xf>
    <xf numFmtId="170" fontId="50" fillId="0" borderId="5" xfId="1213" applyNumberFormat="1" applyFont="1" applyBorder="1" applyAlignment="1" applyProtection="1">
      <alignment horizontal="left" vertical="top" shrinkToFit="1"/>
      <protection hidden="1"/>
    </xf>
    <xf numFmtId="0" fontId="50" fillId="0" borderId="5" xfId="1213" applyFont="1" applyBorder="1" applyAlignment="1" applyProtection="1">
      <alignment horizontal="left" vertical="top" shrinkToFit="1"/>
      <protection hidden="1"/>
    </xf>
    <xf numFmtId="3" fontId="50" fillId="0" borderId="5" xfId="1213" applyNumberFormat="1" applyFont="1" applyBorder="1" applyAlignment="1" applyProtection="1">
      <alignment horizontal="left" vertical="top" shrinkToFit="1"/>
      <protection hidden="1"/>
    </xf>
    <xf numFmtId="0" fontId="50" fillId="0" borderId="0" xfId="1213" applyFont="1" applyAlignment="1" applyProtection="1">
      <alignment horizontal="left" vertical="top"/>
      <protection hidden="1"/>
    </xf>
    <xf numFmtId="168" fontId="168" fillId="0" borderId="15" xfId="0" applyNumberFormat="1" applyFont="1" applyBorder="1" applyAlignment="1" applyProtection="1">
      <alignment horizontal="center" vertical="center"/>
      <protection hidden="1"/>
    </xf>
    <xf numFmtId="0" fontId="152" fillId="0" borderId="139" xfId="0" applyFont="1" applyBorder="1" applyAlignment="1" applyProtection="1">
      <alignment horizontal="center" vertical="center" wrapText="1"/>
      <protection hidden="1"/>
    </xf>
    <xf numFmtId="0" fontId="80" fillId="0" borderId="12" xfId="0" applyFont="1" applyBorder="1" applyAlignment="1">
      <alignment horizontal="center" vertical="center" wrapText="1"/>
    </xf>
    <xf numFmtId="0" fontId="80" fillId="0" borderId="15" xfId="0" applyFont="1" applyBorder="1" applyAlignment="1">
      <alignment horizontal="center" vertical="center" shrinkToFit="1"/>
    </xf>
    <xf numFmtId="3" fontId="134" fillId="0" borderId="32" xfId="0" applyNumberFormat="1" applyFont="1" applyBorder="1" applyAlignment="1">
      <alignment horizontal="center" vertical="center" shrinkToFit="1"/>
    </xf>
    <xf numFmtId="3" fontId="151" fillId="0" borderId="35" xfId="0" applyNumberFormat="1" applyFont="1" applyBorder="1" applyAlignment="1" applyProtection="1">
      <alignment vertical="center" shrinkToFit="1"/>
      <protection hidden="1"/>
    </xf>
    <xf numFmtId="3" fontId="151" fillId="0" borderId="41" xfId="0" applyNumberFormat="1" applyFont="1" applyBorder="1" applyAlignment="1" applyProtection="1">
      <alignment vertical="center" shrinkToFit="1"/>
      <protection hidden="1"/>
    </xf>
    <xf numFmtId="3" fontId="151" fillId="0" borderId="49" xfId="0" applyNumberFormat="1" applyFont="1" applyBorder="1" applyAlignment="1" applyProtection="1">
      <alignment vertical="center" shrinkToFit="1"/>
      <protection hidden="1"/>
    </xf>
    <xf numFmtId="3" fontId="151" fillId="0" borderId="42" xfId="0" applyNumberFormat="1" applyFont="1" applyBorder="1" applyAlignment="1" applyProtection="1">
      <alignment vertical="center" shrinkToFit="1"/>
      <protection hidden="1"/>
    </xf>
    <xf numFmtId="3" fontId="135" fillId="0" borderId="18" xfId="0" applyNumberFormat="1" applyFont="1" applyBorder="1" applyAlignment="1" applyProtection="1">
      <alignment horizontal="center" vertical="center" shrinkToFit="1"/>
      <protection hidden="1"/>
    </xf>
    <xf numFmtId="3" fontId="135" fillId="0" borderId="43" xfId="0" applyNumberFormat="1" applyFont="1" applyBorder="1" applyAlignment="1" applyProtection="1">
      <alignment vertical="center" shrinkToFit="1"/>
      <protection hidden="1"/>
    </xf>
    <xf numFmtId="3" fontId="23" fillId="0" borderId="115" xfId="0" applyNumberFormat="1" applyFont="1" applyBorder="1" applyAlignment="1">
      <alignment horizontal="center" vertical="center" shrinkToFit="1"/>
    </xf>
    <xf numFmtId="3" fontId="23" fillId="0" borderId="34" xfId="0" applyNumberFormat="1" applyFont="1" applyBorder="1" applyAlignment="1">
      <alignment horizontal="center" vertical="center" shrinkToFit="1"/>
    </xf>
    <xf numFmtId="3" fontId="9" fillId="0" borderId="119" xfId="0" applyNumberFormat="1" applyFont="1" applyBorder="1" applyAlignment="1">
      <alignment horizontal="center" vertical="center" shrinkToFit="1"/>
    </xf>
    <xf numFmtId="3" fontId="151" fillId="0" borderId="96" xfId="0" applyNumberFormat="1" applyFont="1" applyBorder="1" applyAlignment="1" applyProtection="1">
      <alignment vertical="center" shrinkToFit="1"/>
      <protection hidden="1"/>
    </xf>
    <xf numFmtId="0" fontId="146" fillId="0" borderId="11" xfId="0" applyFont="1" applyBorder="1" applyAlignment="1" applyProtection="1">
      <alignment vertical="center" wrapText="1"/>
      <protection hidden="1"/>
    </xf>
    <xf numFmtId="172" fontId="139" fillId="0" borderId="8" xfId="0" applyNumberFormat="1" applyFont="1" applyBorder="1" applyAlignment="1" applyProtection="1">
      <alignment horizontal="center" vertical="center" shrinkToFit="1"/>
      <protection hidden="1"/>
    </xf>
    <xf numFmtId="172" fontId="139" fillId="3" borderId="138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15" xfId="0" applyNumberFormat="1" applyFont="1" applyBorder="1" applyAlignment="1" applyProtection="1">
      <alignment horizontal="center" vertical="center" shrinkToFit="1"/>
      <protection hidden="1"/>
    </xf>
    <xf numFmtId="172" fontId="139" fillId="3" borderId="102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11" xfId="0" applyNumberFormat="1" applyFont="1" applyBorder="1" applyAlignment="1" applyProtection="1">
      <alignment horizontal="center" vertical="center" shrinkToFit="1"/>
      <protection hidden="1"/>
    </xf>
    <xf numFmtId="172" fontId="139" fillId="3" borderId="139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39" xfId="0" applyNumberFormat="1" applyFont="1" applyBorder="1" applyAlignment="1" applyProtection="1">
      <alignment horizontal="center" vertical="center" shrinkToFit="1"/>
      <protection hidden="1"/>
    </xf>
    <xf numFmtId="172" fontId="139" fillId="0" borderId="181" xfId="0" applyNumberFormat="1" applyFont="1" applyBorder="1" applyAlignment="1" applyProtection="1">
      <alignment horizontal="center" vertical="center" shrinkToFit="1"/>
      <protection hidden="1"/>
    </xf>
    <xf numFmtId="0" fontId="33" fillId="0" borderId="0" xfId="1299" applyFont="1" applyAlignment="1">
      <alignment horizontal="left" vertical="center" wrapText="1"/>
    </xf>
    <xf numFmtId="0" fontId="68" fillId="0" borderId="0" xfId="1299" applyFont="1" applyAlignment="1">
      <alignment horizontal="left" vertical="center"/>
    </xf>
    <xf numFmtId="0" fontId="68" fillId="0" borderId="0" xfId="1299" applyFont="1" applyAlignment="1">
      <alignment horizontal="center" vertical="center" wrapText="1"/>
    </xf>
    <xf numFmtId="0" fontId="77" fillId="0" borderId="0" xfId="1299" applyFont="1" applyAlignment="1">
      <alignment horizontal="left" vertical="center" wrapText="1" indent="2"/>
    </xf>
    <xf numFmtId="0" fontId="77" fillId="0" borderId="0" xfId="1299" applyFont="1" applyAlignment="1">
      <alignment horizontal="left" vertical="center" wrapText="1"/>
    </xf>
    <xf numFmtId="0" fontId="134" fillId="0" borderId="32" xfId="0" applyFont="1" applyBorder="1" applyAlignment="1">
      <alignment horizontal="center" vertical="center" wrapText="1"/>
    </xf>
    <xf numFmtId="0" fontId="134" fillId="0" borderId="22" xfId="0" applyFont="1" applyBorder="1" applyAlignment="1">
      <alignment horizontal="center" vertical="center" wrapText="1"/>
    </xf>
    <xf numFmtId="0" fontId="134" fillId="0" borderId="53" xfId="0" applyFont="1" applyBorder="1" applyAlignment="1">
      <alignment horizontal="center" vertical="center" wrapText="1"/>
    </xf>
    <xf numFmtId="0" fontId="143" fillId="0" borderId="32" xfId="0" applyFont="1" applyBorder="1" applyAlignment="1">
      <alignment horizontal="center" vertical="center" wrapText="1"/>
    </xf>
    <xf numFmtId="0" fontId="143" fillId="0" borderId="53" xfId="0" applyFont="1" applyBorder="1" applyAlignment="1">
      <alignment horizontal="center" vertical="center" wrapText="1"/>
    </xf>
    <xf numFmtId="0" fontId="137" fillId="0" borderId="32" xfId="0" applyFont="1" applyBorder="1" applyAlignment="1">
      <alignment horizontal="center" vertical="center" wrapText="1"/>
    </xf>
    <xf numFmtId="0" fontId="137" fillId="0" borderId="53" xfId="0" applyFont="1" applyBorder="1" applyAlignment="1">
      <alignment horizontal="center" vertical="center" wrapText="1"/>
    </xf>
    <xf numFmtId="3" fontId="134" fillId="0" borderId="49" xfId="0" applyNumberFormat="1" applyFont="1" applyBorder="1" applyAlignment="1">
      <alignment horizontal="center" vertical="center" shrinkToFit="1"/>
    </xf>
    <xf numFmtId="3" fontId="134" fillId="0" borderId="53" xfId="0" applyNumberFormat="1" applyFont="1" applyBorder="1" applyAlignment="1">
      <alignment horizontal="center" vertical="center" shrinkToFit="1"/>
    </xf>
    <xf numFmtId="3" fontId="134" fillId="0" borderId="32" xfId="0" applyNumberFormat="1" applyFont="1" applyBorder="1" applyAlignment="1">
      <alignment horizontal="center" vertical="center" shrinkToFit="1"/>
    </xf>
    <xf numFmtId="0" fontId="80" fillId="0" borderId="16" xfId="0" applyFont="1" applyBorder="1" applyAlignment="1">
      <alignment horizontal="center" vertical="center" textRotation="90" wrapText="1"/>
    </xf>
    <xf numFmtId="0" fontId="80" fillId="0" borderId="169" xfId="0" applyFont="1" applyBorder="1" applyAlignment="1">
      <alignment horizontal="center" vertical="center" textRotation="90" wrapText="1"/>
    </xf>
    <xf numFmtId="0" fontId="80" fillId="0" borderId="12" xfId="0" applyFont="1" applyBorder="1" applyAlignment="1">
      <alignment horizontal="center" vertical="center" textRotation="90" wrapText="1"/>
    </xf>
    <xf numFmtId="4" fontId="9" fillId="0" borderId="117" xfId="0" applyNumberFormat="1" applyFont="1" applyBorder="1" applyAlignment="1" applyProtection="1">
      <alignment horizontal="right" vertical="center" shrinkToFit="1"/>
      <protection hidden="1"/>
    </xf>
    <xf numFmtId="4" fontId="9" fillId="0" borderId="75" xfId="0" applyNumberFormat="1" applyFont="1" applyBorder="1" applyAlignment="1" applyProtection="1">
      <alignment horizontal="right" vertical="center" shrinkToFit="1"/>
      <protection hidden="1"/>
    </xf>
    <xf numFmtId="0" fontId="66" fillId="3" borderId="57" xfId="0" applyFont="1" applyFill="1" applyBorder="1" applyAlignment="1" applyProtection="1">
      <alignment horizontal="center" vertical="center" wrapText="1"/>
      <protection locked="0"/>
    </xf>
    <xf numFmtId="0" fontId="66" fillId="3" borderId="2" xfId="0" applyFont="1" applyFill="1" applyBorder="1" applyAlignment="1" applyProtection="1">
      <alignment horizontal="center" vertical="center" wrapText="1"/>
      <protection locked="0"/>
    </xf>
    <xf numFmtId="0" fontId="66" fillId="3" borderId="58" xfId="0" applyFont="1" applyFill="1" applyBorder="1" applyAlignment="1" applyProtection="1">
      <alignment horizontal="center" vertical="center" wrapText="1"/>
      <protection locked="0"/>
    </xf>
    <xf numFmtId="3" fontId="21" fillId="0" borderId="69" xfId="0" applyNumberFormat="1" applyFont="1" applyBorder="1" applyAlignment="1" applyProtection="1">
      <alignment horizontal="center" vertical="center"/>
      <protection hidden="1"/>
    </xf>
    <xf numFmtId="3" fontId="21" fillId="0" borderId="91" xfId="0" applyNumberFormat="1" applyFont="1" applyBorder="1" applyAlignment="1" applyProtection="1">
      <alignment horizontal="center" vertical="center"/>
      <protection hidden="1"/>
    </xf>
    <xf numFmtId="0" fontId="141" fillId="0" borderId="74" xfId="0" applyFont="1" applyBorder="1" applyAlignment="1" applyProtection="1">
      <alignment horizontal="center" vertical="center" wrapText="1"/>
      <protection hidden="1"/>
    </xf>
    <xf numFmtId="0" fontId="141" fillId="0" borderId="75" xfId="0" applyFont="1" applyBorder="1" applyAlignment="1" applyProtection="1">
      <alignment horizontal="center" vertical="center" wrapText="1"/>
      <protection hidden="1"/>
    </xf>
    <xf numFmtId="0" fontId="141" fillId="0" borderId="76" xfId="0" applyFont="1" applyBorder="1" applyAlignment="1" applyProtection="1">
      <alignment horizontal="center" vertical="center" wrapText="1"/>
      <protection hidden="1"/>
    </xf>
    <xf numFmtId="0" fontId="141" fillId="0" borderId="0" xfId="0" applyFont="1" applyAlignment="1" applyProtection="1">
      <alignment horizontal="left" vertical="center" wrapText="1"/>
      <protection hidden="1"/>
    </xf>
    <xf numFmtId="4" fontId="134" fillId="3" borderId="106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9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16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25" xfId="0" applyNumberFormat="1" applyFont="1" applyFill="1" applyBorder="1" applyAlignment="1" applyProtection="1">
      <alignment horizontal="center" vertical="center" shrinkToFit="1"/>
      <protection locked="0"/>
    </xf>
    <xf numFmtId="0" fontId="152" fillId="0" borderId="59" xfId="0" applyFont="1" applyBorder="1" applyAlignment="1" applyProtection="1">
      <alignment horizontal="center" vertical="center" wrapText="1"/>
      <protection hidden="1"/>
    </xf>
    <xf numFmtId="0" fontId="152" fillId="0" borderId="62" xfId="0" applyFont="1" applyBorder="1" applyAlignment="1" applyProtection="1">
      <alignment horizontal="center" vertical="center" wrapText="1"/>
      <protection hidden="1"/>
    </xf>
    <xf numFmtId="0" fontId="152" fillId="0" borderId="77" xfId="0" applyFont="1" applyBorder="1" applyAlignment="1" applyProtection="1">
      <alignment horizontal="center" vertical="center" wrapText="1"/>
      <protection hidden="1"/>
    </xf>
    <xf numFmtId="0" fontId="152" fillId="0" borderId="63" xfId="0" applyFont="1" applyBorder="1" applyAlignment="1" applyProtection="1">
      <alignment horizontal="center" vertical="center" wrapText="1"/>
      <protection hidden="1"/>
    </xf>
    <xf numFmtId="4" fontId="134" fillId="0" borderId="106" xfId="0" applyNumberFormat="1" applyFont="1" applyBorder="1" applyAlignment="1" applyProtection="1">
      <alignment horizontal="center" vertical="center" shrinkToFit="1"/>
      <protection hidden="1"/>
    </xf>
    <xf numFmtId="4" fontId="134" fillId="0" borderId="7" xfId="0" applyNumberFormat="1" applyFont="1" applyBorder="1" applyAlignment="1" applyProtection="1">
      <alignment horizontal="center" vertical="center" shrinkToFit="1"/>
      <protection hidden="1"/>
    </xf>
    <xf numFmtId="0" fontId="153" fillId="0" borderId="27" xfId="0" applyFont="1" applyBorder="1" applyAlignment="1" applyProtection="1">
      <alignment horizontal="center" vertical="center"/>
      <protection hidden="1"/>
    </xf>
    <xf numFmtId="0" fontId="153" fillId="0" borderId="0" xfId="0" applyFont="1" applyAlignment="1" applyProtection="1">
      <alignment horizontal="center" vertical="center"/>
      <protection hidden="1"/>
    </xf>
    <xf numFmtId="0" fontId="21" fillId="0" borderId="54" xfId="0" applyFont="1" applyBorder="1" applyAlignment="1" applyProtection="1">
      <alignment horizontal="left" vertical="center" wrapText="1"/>
      <protection hidden="1"/>
    </xf>
    <xf numFmtId="0" fontId="21" fillId="0" borderId="55" xfId="0" applyFont="1" applyBorder="1" applyAlignment="1" applyProtection="1">
      <alignment horizontal="left" vertical="center" wrapText="1"/>
      <protection hidden="1"/>
    </xf>
    <xf numFmtId="0" fontId="21" fillId="0" borderId="56" xfId="0" applyFont="1" applyBorder="1" applyAlignment="1" applyProtection="1">
      <alignment horizontal="left" vertical="center" wrapText="1"/>
      <protection hidden="1"/>
    </xf>
    <xf numFmtId="3" fontId="21" fillId="0" borderId="107" xfId="0" applyNumberFormat="1" applyFont="1" applyBorder="1" applyAlignment="1" applyProtection="1">
      <alignment horizontal="center" vertical="center"/>
      <protection hidden="1"/>
    </xf>
    <xf numFmtId="3" fontId="21" fillId="0" borderId="115" xfId="0" applyNumberFormat="1" applyFont="1" applyBorder="1" applyAlignment="1" applyProtection="1">
      <alignment horizontal="center" vertical="center"/>
      <protection hidden="1"/>
    </xf>
    <xf numFmtId="0" fontId="154" fillId="0" borderId="0" xfId="0" applyFont="1" applyAlignment="1" applyProtection="1">
      <alignment horizontal="center" vertical="center" wrapText="1"/>
      <protection hidden="1"/>
    </xf>
    <xf numFmtId="4" fontId="135" fillId="0" borderId="59" xfId="0" applyNumberFormat="1" applyFont="1" applyBorder="1" applyAlignment="1" applyProtection="1">
      <alignment horizontal="center" vertical="center" shrinkToFit="1"/>
      <protection hidden="1"/>
    </xf>
    <xf numFmtId="4" fontId="135" fillId="0" borderId="56" xfId="0" applyNumberFormat="1" applyFont="1" applyBorder="1" applyAlignment="1" applyProtection="1">
      <alignment horizontal="center" vertical="center" shrinkToFit="1"/>
      <protection hidden="1"/>
    </xf>
    <xf numFmtId="4" fontId="135" fillId="0" borderId="60" xfId="0" applyNumberFormat="1" applyFont="1" applyBorder="1" applyAlignment="1" applyProtection="1">
      <alignment horizontal="center" vertical="center" shrinkToFit="1"/>
      <protection hidden="1"/>
    </xf>
    <xf numFmtId="4" fontId="135" fillId="0" borderId="26" xfId="0" applyNumberFormat="1" applyFont="1" applyBorder="1" applyAlignment="1" applyProtection="1">
      <alignment horizontal="center" vertical="center" shrinkToFit="1"/>
      <protection hidden="1"/>
    </xf>
    <xf numFmtId="4" fontId="135" fillId="0" borderId="61" xfId="0" applyNumberFormat="1" applyFont="1" applyBorder="1" applyAlignment="1" applyProtection="1">
      <alignment horizontal="center" vertical="center" shrinkToFit="1"/>
      <protection hidden="1"/>
    </xf>
    <xf numFmtId="4" fontId="135" fillId="0" borderId="18" xfId="0" applyNumberFormat="1" applyFont="1" applyBorder="1" applyAlignment="1" applyProtection="1">
      <alignment horizontal="center" vertical="center" shrinkToFit="1"/>
      <protection hidden="1"/>
    </xf>
    <xf numFmtId="4" fontId="23" fillId="0" borderId="0" xfId="0" applyNumberFormat="1" applyFont="1" applyAlignment="1" applyProtection="1">
      <alignment horizontal="center" vertical="center" shrinkToFit="1"/>
      <protection hidden="1"/>
    </xf>
    <xf numFmtId="4" fontId="9" fillId="0" borderId="48" xfId="0" applyNumberFormat="1" applyFont="1" applyBorder="1" applyAlignment="1" applyProtection="1">
      <alignment horizontal="right" vertical="center" shrinkToFit="1"/>
      <protection hidden="1"/>
    </xf>
    <xf numFmtId="4" fontId="9" fillId="0" borderId="47" xfId="0" applyNumberFormat="1" applyFont="1" applyBorder="1" applyAlignment="1" applyProtection="1">
      <alignment horizontal="right" vertical="center" shrinkToFit="1"/>
      <protection hidden="1"/>
    </xf>
    <xf numFmtId="3" fontId="21" fillId="0" borderId="10" xfId="0" applyNumberFormat="1" applyFont="1" applyBorder="1" applyAlignment="1" applyProtection="1">
      <alignment horizontal="center" vertical="center"/>
      <protection hidden="1"/>
    </xf>
    <xf numFmtId="3" fontId="21" fillId="0" borderId="44" xfId="0" applyNumberFormat="1" applyFont="1" applyBorder="1" applyAlignment="1" applyProtection="1">
      <alignment horizontal="center" vertical="center"/>
      <protection hidden="1"/>
    </xf>
    <xf numFmtId="0" fontId="43" fillId="0" borderId="4" xfId="1213" applyFont="1" applyBorder="1" applyAlignment="1" applyProtection="1">
      <alignment horizontal="center" vertical="center"/>
      <protection hidden="1"/>
    </xf>
    <xf numFmtId="14" fontId="47" fillId="0" borderId="68" xfId="1213" applyNumberFormat="1" applyFont="1" applyBorder="1" applyAlignment="1" applyProtection="1">
      <alignment horizontal="center" vertical="center" shrinkToFit="1"/>
      <protection hidden="1"/>
    </xf>
    <xf numFmtId="0" fontId="21" fillId="0" borderId="114" xfId="0" applyFont="1" applyBorder="1" applyAlignment="1" applyProtection="1">
      <alignment horizontal="left" vertical="center" wrapText="1"/>
      <protection hidden="1"/>
    </xf>
    <xf numFmtId="0" fontId="21" fillId="0" borderId="48" xfId="0" applyFont="1" applyBorder="1" applyAlignment="1" applyProtection="1">
      <alignment horizontal="left" vertical="center" wrapText="1"/>
      <protection hidden="1"/>
    </xf>
    <xf numFmtId="0" fontId="155" fillId="0" borderId="82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5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6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0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83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36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2" xfId="1155" applyNumberFormat="1" applyFont="1" applyFill="1" applyBorder="1" applyAlignment="1" applyProtection="1">
      <alignment horizontal="center" vertical="center" wrapText="1"/>
      <protection hidden="1"/>
    </xf>
    <xf numFmtId="0" fontId="155" fillId="0" borderId="58" xfId="1155" applyNumberFormat="1" applyFont="1" applyFill="1" applyBorder="1" applyAlignment="1" applyProtection="1">
      <alignment horizontal="center" vertical="center" wrapText="1"/>
      <protection hidden="1"/>
    </xf>
    <xf numFmtId="3" fontId="153" fillId="0" borderId="51" xfId="1213" applyNumberFormat="1" applyFont="1" applyBorder="1" applyAlignment="1" applyProtection="1">
      <alignment horizontal="center" vertical="center" shrinkToFit="1"/>
      <protection hidden="1"/>
    </xf>
    <xf numFmtId="3" fontId="153" fillId="0" borderId="79" xfId="1213" applyNumberFormat="1" applyFont="1" applyBorder="1" applyAlignment="1" applyProtection="1">
      <alignment horizontal="center" vertical="center" shrinkToFit="1"/>
      <protection hidden="1"/>
    </xf>
    <xf numFmtId="3" fontId="153" fillId="0" borderId="84" xfId="1213" applyNumberFormat="1" applyFont="1" applyBorder="1" applyAlignment="1" applyProtection="1">
      <alignment horizontal="center" vertical="center" shrinkToFit="1"/>
      <protection hidden="1"/>
    </xf>
    <xf numFmtId="3" fontId="153" fillId="0" borderId="52" xfId="1213" applyNumberFormat="1" applyFont="1" applyBorder="1" applyAlignment="1" applyProtection="1">
      <alignment horizontal="center" vertical="center" shrinkToFit="1"/>
      <protection hidden="1"/>
    </xf>
    <xf numFmtId="3" fontId="153" fillId="0" borderId="81" xfId="1213" applyNumberFormat="1" applyFont="1" applyBorder="1" applyAlignment="1" applyProtection="1">
      <alignment horizontal="center" vertical="center" shrinkToFit="1"/>
      <protection hidden="1"/>
    </xf>
    <xf numFmtId="3" fontId="153" fillId="0" borderId="85" xfId="1213" applyNumberFormat="1" applyFont="1" applyBorder="1" applyAlignment="1" applyProtection="1">
      <alignment horizontal="center" vertical="center" shrinkToFit="1"/>
      <protection hidden="1"/>
    </xf>
    <xf numFmtId="0" fontId="141" fillId="0" borderId="71" xfId="0" applyFont="1" applyBorder="1" applyAlignment="1" applyProtection="1">
      <alignment horizontal="center" vertical="center" wrapText="1"/>
      <protection hidden="1"/>
    </xf>
    <xf numFmtId="0" fontId="141" fillId="0" borderId="69" xfId="0" applyFont="1" applyBorder="1" applyAlignment="1" applyProtection="1">
      <alignment horizontal="center" vertical="center" wrapText="1"/>
      <protection hidden="1"/>
    </xf>
    <xf numFmtId="0" fontId="141" fillId="0" borderId="72" xfId="0" applyFont="1" applyBorder="1" applyAlignment="1" applyProtection="1">
      <alignment horizontal="center" vertical="center" wrapText="1"/>
      <protection hidden="1"/>
    </xf>
    <xf numFmtId="0" fontId="141" fillId="0" borderId="70" xfId="0" applyFont="1" applyBorder="1" applyAlignment="1" applyProtection="1">
      <alignment horizontal="center" vertical="center" wrapText="1"/>
      <protection hidden="1"/>
    </xf>
    <xf numFmtId="0" fontId="135" fillId="0" borderId="16" xfId="0" applyFont="1" applyBorder="1" applyAlignment="1" applyProtection="1">
      <alignment horizontal="center" vertical="center" textRotation="90" wrapText="1"/>
      <protection hidden="1"/>
    </xf>
    <xf numFmtId="0" fontId="135" fillId="0" borderId="3" xfId="0" applyFont="1" applyBorder="1" applyAlignment="1" applyProtection="1">
      <alignment horizontal="center" vertical="center" textRotation="90" wrapText="1"/>
      <protection hidden="1"/>
    </xf>
    <xf numFmtId="3" fontId="28" fillId="0" borderId="50" xfId="0" applyNumberFormat="1" applyFont="1" applyBorder="1" applyAlignment="1" applyProtection="1">
      <alignment horizontal="center" vertical="center" shrinkToFit="1"/>
      <protection hidden="1"/>
    </xf>
    <xf numFmtId="4" fontId="9" fillId="0" borderId="51" xfId="0" applyNumberFormat="1" applyFont="1" applyBorder="1" applyAlignment="1" applyProtection="1">
      <alignment horizontal="right" vertical="center" shrinkToFit="1"/>
      <protection hidden="1"/>
    </xf>
    <xf numFmtId="4" fontId="9" fillId="0" borderId="38" xfId="0" applyNumberFormat="1" applyFont="1" applyBorder="1" applyAlignment="1" applyProtection="1">
      <alignment horizontal="right" vertical="center" shrinkToFit="1"/>
      <protection hidden="1"/>
    </xf>
    <xf numFmtId="4" fontId="9" fillId="0" borderId="52" xfId="0" applyNumberFormat="1" applyFont="1" applyBorder="1" applyAlignment="1" applyProtection="1">
      <alignment horizontal="right" vertical="center" shrinkToFit="1"/>
      <protection hidden="1"/>
    </xf>
    <xf numFmtId="0" fontId="21" fillId="0" borderId="57" xfId="0" applyFont="1" applyBorder="1" applyAlignment="1" applyProtection="1">
      <alignment horizontal="left" vertical="center" wrapText="1"/>
      <protection hidden="1"/>
    </xf>
    <xf numFmtId="0" fontId="21" fillId="0" borderId="2" xfId="0" applyFont="1" applyBorder="1" applyAlignment="1" applyProtection="1">
      <alignment horizontal="left" vertical="center" wrapText="1"/>
      <protection hidden="1"/>
    </xf>
    <xf numFmtId="0" fontId="21" fillId="0" borderId="58" xfId="0" applyFont="1" applyBorder="1" applyAlignment="1" applyProtection="1">
      <alignment horizontal="left" vertical="center" wrapText="1"/>
      <protection hidden="1"/>
    </xf>
    <xf numFmtId="0" fontId="43" fillId="0" borderId="0" xfId="1213" applyFont="1" applyAlignment="1" applyProtection="1">
      <alignment horizontal="left" vertical="center"/>
      <protection hidden="1"/>
    </xf>
    <xf numFmtId="0" fontId="135" fillId="0" borderId="123" xfId="0" applyFont="1" applyBorder="1" applyAlignment="1" applyProtection="1">
      <alignment horizontal="center" vertical="center" wrapText="1"/>
      <protection hidden="1"/>
    </xf>
    <xf numFmtId="0" fontId="135" fillId="0" borderId="28" xfId="0" applyFont="1" applyBorder="1" applyAlignment="1" applyProtection="1">
      <alignment horizontal="center" vertical="center" wrapText="1"/>
      <protection hidden="1"/>
    </xf>
    <xf numFmtId="0" fontId="135" fillId="0" borderId="124" xfId="0" applyFont="1" applyBorder="1" applyAlignment="1" applyProtection="1">
      <alignment horizontal="center" vertical="center" wrapText="1"/>
      <protection hidden="1"/>
    </xf>
    <xf numFmtId="0" fontId="139" fillId="0" borderId="65" xfId="0" applyFont="1" applyBorder="1" applyAlignment="1" applyProtection="1">
      <alignment horizontal="center" vertical="center" wrapText="1"/>
      <protection hidden="1"/>
    </xf>
    <xf numFmtId="0" fontId="139" fillId="0" borderId="50" xfId="0" applyFont="1" applyBorder="1" applyAlignment="1" applyProtection="1">
      <alignment horizontal="center" vertical="center" wrapText="1"/>
      <protection hidden="1"/>
    </xf>
    <xf numFmtId="0" fontId="139" fillId="0" borderId="66" xfId="0" applyFont="1" applyBorder="1" applyAlignment="1" applyProtection="1">
      <alignment horizontal="center" vertical="center" wrapText="1"/>
      <protection hidden="1"/>
    </xf>
    <xf numFmtId="0" fontId="139" fillId="0" borderId="0" xfId="0" applyFont="1" applyAlignment="1" applyProtection="1">
      <alignment horizontal="center" vertical="center" wrapText="1"/>
      <protection hidden="1"/>
    </xf>
    <xf numFmtId="0" fontId="139" fillId="0" borderId="36" xfId="0" applyFont="1" applyBorder="1" applyAlignment="1" applyProtection="1">
      <alignment horizontal="center" vertical="center" wrapText="1"/>
      <protection hidden="1"/>
    </xf>
    <xf numFmtId="0" fontId="139" fillId="0" borderId="2" xfId="0" applyFont="1" applyBorder="1" applyAlignment="1" applyProtection="1">
      <alignment horizontal="center" vertical="center" wrapText="1"/>
      <protection hidden="1"/>
    </xf>
    <xf numFmtId="4" fontId="9" fillId="0" borderId="76" xfId="0" applyNumberFormat="1" applyFont="1" applyBorder="1" applyAlignment="1" applyProtection="1">
      <alignment horizontal="right" vertical="center" shrinkToFit="1"/>
      <protection hidden="1"/>
    </xf>
    <xf numFmtId="0" fontId="142" fillId="0" borderId="0" xfId="1213" applyFont="1" applyAlignment="1" applyProtection="1">
      <alignment horizontal="center" vertical="center" shrinkToFit="1"/>
      <protection hidden="1"/>
    </xf>
    <xf numFmtId="0" fontId="141" fillId="0" borderId="62" xfId="0" applyFont="1" applyBorder="1" applyAlignment="1" applyProtection="1">
      <alignment horizontal="center" vertical="center" wrapText="1"/>
      <protection hidden="1"/>
    </xf>
    <xf numFmtId="0" fontId="141" fillId="0" borderId="63" xfId="0" applyFont="1" applyBorder="1" applyAlignment="1" applyProtection="1">
      <alignment horizontal="center" vertical="center" wrapText="1"/>
      <protection hidden="1"/>
    </xf>
    <xf numFmtId="0" fontId="141" fillId="0" borderId="64" xfId="0" applyFont="1" applyBorder="1" applyAlignment="1" applyProtection="1">
      <alignment horizontal="center" vertical="center" wrapText="1"/>
      <protection hidden="1"/>
    </xf>
    <xf numFmtId="0" fontId="135" fillId="0" borderId="67" xfId="0" applyFont="1" applyBorder="1" applyAlignment="1" applyProtection="1">
      <alignment horizontal="center" vertical="center" wrapText="1"/>
      <protection hidden="1"/>
    </xf>
    <xf numFmtId="0" fontId="135" fillId="0" borderId="15" xfId="0" applyFont="1" applyBorder="1" applyAlignment="1" applyProtection="1">
      <alignment horizontal="center" vertical="center" wrapText="1"/>
      <protection hidden="1"/>
    </xf>
    <xf numFmtId="0" fontId="135" fillId="0" borderId="11" xfId="0" applyFont="1" applyBorder="1" applyAlignment="1" applyProtection="1">
      <alignment horizontal="center" vertical="center" wrapText="1"/>
      <protection hidden="1"/>
    </xf>
    <xf numFmtId="0" fontId="138" fillId="0" borderId="0" xfId="1213" applyFont="1" applyAlignment="1" applyProtection="1">
      <alignment horizontal="left" vertical="center" shrinkToFit="1"/>
      <protection hidden="1"/>
    </xf>
    <xf numFmtId="0" fontId="141" fillId="0" borderId="68" xfId="0" applyFont="1" applyBorder="1" applyAlignment="1" applyProtection="1">
      <alignment horizontal="center" vertical="center" textRotation="90" wrapText="1"/>
      <protection hidden="1"/>
    </xf>
    <xf numFmtId="0" fontId="141" fillId="0" borderId="69" xfId="0" applyFont="1" applyBorder="1" applyAlignment="1" applyProtection="1">
      <alignment horizontal="center" vertical="center" textRotation="90" wrapText="1"/>
      <protection hidden="1"/>
    </xf>
    <xf numFmtId="0" fontId="141" fillId="0" borderId="2" xfId="0" applyFont="1" applyBorder="1" applyAlignment="1" applyProtection="1">
      <alignment horizontal="center" vertical="center" textRotation="90" wrapText="1"/>
      <protection hidden="1"/>
    </xf>
    <xf numFmtId="0" fontId="141" fillId="0" borderId="70" xfId="0" applyFont="1" applyBorder="1" applyAlignment="1" applyProtection="1">
      <alignment horizontal="center" vertical="center" textRotation="90" wrapText="1"/>
      <protection hidden="1"/>
    </xf>
    <xf numFmtId="0" fontId="141" fillId="0" borderId="71" xfId="0" applyFont="1" applyBorder="1" applyAlignment="1" applyProtection="1">
      <alignment horizontal="center" vertical="center" textRotation="90" wrapText="1"/>
      <protection hidden="1"/>
    </xf>
    <xf numFmtId="0" fontId="141" fillId="0" borderId="72" xfId="0" applyFont="1" applyBorder="1" applyAlignment="1" applyProtection="1">
      <alignment horizontal="center" vertical="center" textRotation="90" wrapText="1"/>
      <protection hidden="1"/>
    </xf>
    <xf numFmtId="4" fontId="9" fillId="0" borderId="43" xfId="0" applyNumberFormat="1" applyFont="1" applyBorder="1" applyAlignment="1" applyProtection="1">
      <alignment horizontal="right" vertical="center" shrinkToFit="1"/>
      <protection hidden="1"/>
    </xf>
    <xf numFmtId="0" fontId="11" fillId="0" borderId="0" xfId="0" applyFont="1" applyAlignment="1" applyProtection="1">
      <alignment horizontal="left" vertical="top" wrapText="1"/>
      <protection hidden="1"/>
    </xf>
    <xf numFmtId="0" fontId="146" fillId="0" borderId="0" xfId="1213" applyFont="1" applyAlignment="1" applyProtection="1">
      <alignment horizontal="center" vertical="top"/>
      <protection hidden="1"/>
    </xf>
    <xf numFmtId="0" fontId="153" fillId="0" borderId="0" xfId="0" applyFont="1" applyAlignment="1" applyProtection="1">
      <alignment horizontal="center" vertical="center" wrapText="1"/>
      <protection hidden="1"/>
    </xf>
    <xf numFmtId="1" fontId="156" fillId="0" borderId="0" xfId="0" applyNumberFormat="1" applyFont="1" applyAlignment="1" applyProtection="1">
      <alignment horizontal="center" vertical="center" wrapText="1"/>
      <protection hidden="1"/>
    </xf>
    <xf numFmtId="0" fontId="145" fillId="0" borderId="0" xfId="1213" applyFont="1" applyAlignment="1" applyProtection="1">
      <alignment horizontal="left" vertical="top" wrapText="1"/>
      <protection hidden="1"/>
    </xf>
    <xf numFmtId="0" fontId="153" fillId="0" borderId="0" xfId="0" applyFont="1" applyAlignment="1" applyProtection="1">
      <alignment horizontal="center" vertical="center" shrinkToFit="1"/>
      <protection hidden="1"/>
    </xf>
    <xf numFmtId="0" fontId="135" fillId="0" borderId="86" xfId="0" applyFont="1" applyBorder="1" applyAlignment="1" applyProtection="1">
      <alignment horizontal="center" vertical="center" wrapText="1"/>
      <protection hidden="1"/>
    </xf>
    <xf numFmtId="0" fontId="135" fillId="0" borderId="50" xfId="0" applyFont="1" applyBorder="1" applyAlignment="1" applyProtection="1">
      <alignment horizontal="center" vertical="center" wrapText="1"/>
      <protection hidden="1"/>
    </xf>
    <xf numFmtId="0" fontId="135" fillId="0" borderId="87" xfId="0" applyFont="1" applyBorder="1" applyAlignment="1" applyProtection="1">
      <alignment horizontal="center" vertical="center" wrapText="1"/>
      <protection hidden="1"/>
    </xf>
    <xf numFmtId="0" fontId="135" fillId="0" borderId="77" xfId="0" applyFont="1" applyBorder="1" applyAlignment="1" applyProtection="1">
      <alignment horizontal="center" vertical="center" wrapText="1"/>
      <protection hidden="1"/>
    </xf>
    <xf numFmtId="0" fontId="135" fillId="0" borderId="0" xfId="0" applyFont="1" applyAlignment="1" applyProtection="1">
      <alignment horizontal="center" vertical="center" wrapText="1"/>
      <protection hidden="1"/>
    </xf>
    <xf numFmtId="0" fontId="135" fillId="0" borderId="88" xfId="0" applyFont="1" applyBorder="1" applyAlignment="1" applyProtection="1">
      <alignment horizontal="center" vertical="center" wrapText="1"/>
      <protection hidden="1"/>
    </xf>
    <xf numFmtId="0" fontId="135" fillId="0" borderId="72" xfId="0" applyFont="1" applyBorder="1" applyAlignment="1" applyProtection="1">
      <alignment horizontal="center" vertical="center" wrapText="1"/>
      <protection hidden="1"/>
    </xf>
    <xf numFmtId="0" fontId="135" fillId="0" borderId="2" xfId="0" applyFont="1" applyBorder="1" applyAlignment="1" applyProtection="1">
      <alignment horizontal="center" vertical="center" wrapText="1"/>
      <protection hidden="1"/>
    </xf>
    <xf numFmtId="0" fontId="135" fillId="0" borderId="70" xfId="0" applyFont="1" applyBorder="1" applyAlignment="1" applyProtection="1">
      <alignment horizontal="center" vertical="center" wrapText="1"/>
      <protection hidden="1"/>
    </xf>
    <xf numFmtId="0" fontId="157" fillId="0" borderId="0" xfId="1213" applyFont="1" applyAlignment="1" applyProtection="1">
      <alignment horizontal="center" vertical="center"/>
      <protection hidden="1"/>
    </xf>
    <xf numFmtId="0" fontId="139" fillId="0" borderId="0" xfId="0" applyFont="1" applyAlignment="1" applyProtection="1">
      <alignment horizontal="left" vertical="center" wrapText="1"/>
      <protection hidden="1"/>
    </xf>
    <xf numFmtId="0" fontId="152" fillId="0" borderId="86" xfId="0" applyFont="1" applyBorder="1" applyAlignment="1" applyProtection="1">
      <alignment horizontal="center" vertical="center" wrapText="1"/>
      <protection hidden="1"/>
    </xf>
    <xf numFmtId="0" fontId="152" fillId="0" borderId="87" xfId="0" applyFont="1" applyBorder="1" applyAlignment="1" applyProtection="1">
      <alignment horizontal="center" vertical="center" wrapText="1"/>
      <protection hidden="1"/>
    </xf>
    <xf numFmtId="0" fontId="152" fillId="0" borderId="88" xfId="0" applyFont="1" applyBorder="1" applyAlignment="1" applyProtection="1">
      <alignment horizontal="center" vertical="center" wrapText="1"/>
      <protection hidden="1"/>
    </xf>
    <xf numFmtId="0" fontId="152" fillId="0" borderId="72" xfId="0" applyFont="1" applyBorder="1" applyAlignment="1" applyProtection="1">
      <alignment horizontal="center" vertical="center" wrapText="1"/>
      <protection hidden="1"/>
    </xf>
    <xf numFmtId="0" fontId="152" fillId="0" borderId="70" xfId="0" applyFont="1" applyBorder="1" applyAlignment="1" applyProtection="1">
      <alignment horizontal="center" vertical="center" wrapText="1"/>
      <protection hidden="1"/>
    </xf>
    <xf numFmtId="0" fontId="152" fillId="0" borderId="93" xfId="0" applyFont="1" applyBorder="1" applyAlignment="1" applyProtection="1">
      <alignment horizontal="center" vertical="center" textRotation="90" wrapText="1"/>
      <protection hidden="1"/>
    </xf>
    <xf numFmtId="0" fontId="152" fillId="0" borderId="94" xfId="0" applyFont="1" applyBorder="1" applyAlignment="1" applyProtection="1">
      <alignment horizontal="center" vertical="center" textRotation="90" wrapText="1"/>
      <protection hidden="1"/>
    </xf>
    <xf numFmtId="0" fontId="152" fillId="0" borderId="92" xfId="0" applyFont="1" applyBorder="1" applyAlignment="1" applyProtection="1">
      <alignment horizontal="center" vertical="center" textRotation="90" wrapText="1"/>
      <protection hidden="1"/>
    </xf>
    <xf numFmtId="0" fontId="141" fillId="0" borderId="68" xfId="0" applyFont="1" applyBorder="1" applyAlignment="1" applyProtection="1">
      <alignment horizontal="center" vertical="center" wrapText="1"/>
      <protection hidden="1"/>
    </xf>
    <xf numFmtId="0" fontId="141" fillId="0" borderId="2" xfId="0" applyFont="1" applyBorder="1" applyAlignment="1" applyProtection="1">
      <alignment horizontal="center" vertical="center" wrapText="1"/>
      <protection hidden="1"/>
    </xf>
    <xf numFmtId="0" fontId="141" fillId="0" borderId="32" xfId="0" applyFont="1" applyBorder="1" applyAlignment="1" applyProtection="1">
      <alignment horizontal="center" vertical="center" wrapText="1"/>
      <protection hidden="1"/>
    </xf>
    <xf numFmtId="0" fontId="141" fillId="0" borderId="22" xfId="0" applyFont="1" applyBorder="1" applyAlignment="1" applyProtection="1">
      <alignment horizontal="center" vertical="center" wrapText="1"/>
      <protection hidden="1"/>
    </xf>
    <xf numFmtId="0" fontId="141" fillId="0" borderId="53" xfId="0" applyFont="1" applyBorder="1" applyAlignment="1" applyProtection="1">
      <alignment horizontal="center" vertical="center" wrapText="1"/>
      <protection hidden="1"/>
    </xf>
    <xf numFmtId="3" fontId="134" fillId="0" borderId="15" xfId="0" applyNumberFormat="1" applyFont="1" applyBorder="1" applyAlignment="1">
      <alignment horizontal="center" vertical="center" shrinkToFit="1"/>
    </xf>
    <xf numFmtId="0" fontId="9" fillId="0" borderId="0" xfId="1155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3" fontId="135" fillId="0" borderId="37" xfId="0" applyNumberFormat="1" applyFont="1" applyBorder="1" applyAlignment="1" applyProtection="1">
      <alignment horizontal="center" vertical="center" shrinkToFit="1"/>
      <protection hidden="1"/>
    </xf>
    <xf numFmtId="3" fontId="135" fillId="0" borderId="73" xfId="0" applyNumberFormat="1" applyFont="1" applyBorder="1" applyAlignment="1" applyProtection="1">
      <alignment horizontal="center" vertical="center" shrinkToFit="1"/>
      <protection hidden="1"/>
    </xf>
    <xf numFmtId="3" fontId="134" fillId="0" borderId="90" xfId="0" applyNumberFormat="1" applyFont="1" applyBorder="1" applyAlignment="1">
      <alignment horizontal="center" vertical="center" shrinkToFit="1"/>
    </xf>
    <xf numFmtId="3" fontId="134" fillId="0" borderId="12" xfId="0" applyNumberFormat="1" applyFont="1" applyBorder="1" applyAlignment="1">
      <alignment horizontal="center" vertical="center" shrinkToFit="1"/>
    </xf>
    <xf numFmtId="3" fontId="151" fillId="0" borderId="35" xfId="0" applyNumberFormat="1" applyFont="1" applyBorder="1" applyAlignment="1" applyProtection="1">
      <alignment horizontal="center" vertical="center" shrinkToFit="1"/>
      <protection hidden="1"/>
    </xf>
    <xf numFmtId="3" fontId="151" fillId="0" borderId="7" xfId="0" applyNumberFormat="1" applyFont="1" applyBorder="1" applyAlignment="1" applyProtection="1">
      <alignment horizontal="center" vertical="center" shrinkToFit="1"/>
      <protection hidden="1"/>
    </xf>
    <xf numFmtId="3" fontId="151" fillId="0" borderId="49" xfId="0" applyNumberFormat="1" applyFont="1" applyBorder="1" applyAlignment="1" applyProtection="1">
      <alignment horizontal="center" vertical="center" shrinkToFit="1"/>
      <protection hidden="1"/>
    </xf>
    <xf numFmtId="3" fontId="151" fillId="0" borderId="22" xfId="0" applyNumberFormat="1" applyFont="1" applyBorder="1" applyAlignment="1" applyProtection="1">
      <alignment horizontal="center" vertical="center" shrinkToFit="1"/>
      <protection hidden="1"/>
    </xf>
    <xf numFmtId="0" fontId="143" fillId="0" borderId="15" xfId="0" applyFont="1" applyBorder="1" applyAlignment="1">
      <alignment horizontal="center" vertical="center" wrapText="1"/>
    </xf>
    <xf numFmtId="3" fontId="135" fillId="0" borderId="60" xfId="0" applyNumberFormat="1" applyFont="1" applyBorder="1" applyAlignment="1" applyProtection="1">
      <alignment horizontal="center" vertical="center" shrinkToFit="1"/>
      <protection hidden="1"/>
    </xf>
    <xf numFmtId="3" fontId="135" fillId="0" borderId="97" xfId="0" applyNumberFormat="1" applyFont="1" applyBorder="1" applyAlignment="1" applyProtection="1">
      <alignment horizontal="center" vertical="center" shrinkToFit="1"/>
      <protection hidden="1"/>
    </xf>
    <xf numFmtId="0" fontId="134" fillId="0" borderId="15" xfId="0" applyFont="1" applyBorder="1" applyAlignment="1">
      <alignment horizontal="center" vertical="center" wrapText="1"/>
    </xf>
    <xf numFmtId="0" fontId="139" fillId="0" borderId="98" xfId="0" applyFont="1" applyBorder="1" applyAlignment="1" applyProtection="1">
      <alignment horizontal="center" vertical="center" wrapText="1"/>
      <protection hidden="1"/>
    </xf>
    <xf numFmtId="0" fontId="139" fillId="0" borderId="63" xfId="0" applyFont="1" applyBorder="1" applyAlignment="1" applyProtection="1">
      <alignment horizontal="center" vertical="center" wrapText="1"/>
      <protection hidden="1"/>
    </xf>
    <xf numFmtId="0" fontId="139" fillId="0" borderId="64" xfId="0" applyFont="1" applyBorder="1" applyAlignment="1" applyProtection="1">
      <alignment horizontal="center" vertical="center" wrapText="1"/>
      <protection hidden="1"/>
    </xf>
    <xf numFmtId="4" fontId="151" fillId="0" borderId="90" xfId="0" applyNumberFormat="1" applyFont="1" applyBorder="1" applyAlignment="1" applyProtection="1">
      <alignment horizontal="right" vertical="center" shrinkToFit="1"/>
      <protection hidden="1"/>
    </xf>
    <xf numFmtId="4" fontId="151" fillId="0" borderId="12" xfId="0" applyNumberFormat="1" applyFont="1" applyBorder="1" applyAlignment="1" applyProtection="1">
      <alignment horizontal="right" vertical="center" shrinkToFit="1"/>
      <protection hidden="1"/>
    </xf>
    <xf numFmtId="4" fontId="151" fillId="0" borderId="99" xfId="0" applyNumberFormat="1" applyFont="1" applyBorder="1" applyAlignment="1" applyProtection="1">
      <alignment horizontal="right" vertical="center" shrinkToFit="1"/>
      <protection hidden="1"/>
    </xf>
    <xf numFmtId="0" fontId="139" fillId="0" borderId="11" xfId="0" applyFont="1" applyBorder="1" applyAlignment="1" applyProtection="1">
      <alignment horizontal="center" vertical="center" wrapText="1"/>
      <protection hidden="1"/>
    </xf>
    <xf numFmtId="0" fontId="134" fillId="3" borderId="100" xfId="0" applyFont="1" applyFill="1" applyBorder="1" applyAlignment="1" applyProtection="1">
      <alignment horizontal="center" vertical="center" wrapText="1"/>
      <protection locked="0"/>
    </xf>
    <xf numFmtId="0" fontId="134" fillId="3" borderId="4" xfId="0" applyFont="1" applyFill="1" applyBorder="1" applyAlignment="1" applyProtection="1">
      <alignment horizontal="center" vertical="center" wrapText="1"/>
      <protection locked="0"/>
    </xf>
    <xf numFmtId="0" fontId="134" fillId="3" borderId="90" xfId="0" applyFont="1" applyFill="1" applyBorder="1" applyAlignment="1" applyProtection="1">
      <alignment horizontal="center" vertical="center" wrapText="1"/>
      <protection locked="0"/>
    </xf>
    <xf numFmtId="0" fontId="143" fillId="3" borderId="100" xfId="0" applyFont="1" applyFill="1" applyBorder="1" applyAlignment="1" applyProtection="1">
      <alignment horizontal="center" vertical="center" shrinkToFit="1"/>
      <protection locked="0"/>
    </xf>
    <xf numFmtId="0" fontId="143" fillId="3" borderId="4" xfId="0" applyFont="1" applyFill="1" applyBorder="1" applyAlignment="1" applyProtection="1">
      <alignment horizontal="center" vertical="center" shrinkToFit="1"/>
      <protection locked="0"/>
    </xf>
    <xf numFmtId="0" fontId="143" fillId="3" borderId="90" xfId="0" applyFont="1" applyFill="1" applyBorder="1" applyAlignment="1" applyProtection="1">
      <alignment horizontal="center" vertical="center" shrinkToFit="1"/>
      <protection locked="0"/>
    </xf>
    <xf numFmtId="0" fontId="139" fillId="0" borderId="86" xfId="0" applyFont="1" applyBorder="1" applyAlignment="1" applyProtection="1">
      <alignment horizontal="center" vertical="center" wrapText="1"/>
      <protection hidden="1"/>
    </xf>
    <xf numFmtId="0" fontId="139" fillId="0" borderId="87" xfId="0" applyFont="1" applyBorder="1" applyAlignment="1" applyProtection="1">
      <alignment horizontal="center" vertical="center" wrapText="1"/>
      <protection hidden="1"/>
    </xf>
    <xf numFmtId="0" fontId="139" fillId="0" borderId="77" xfId="0" applyFont="1" applyBorder="1" applyAlignment="1" applyProtection="1">
      <alignment horizontal="center" vertical="center" wrapText="1"/>
      <protection hidden="1"/>
    </xf>
    <xf numFmtId="0" fontId="139" fillId="0" borderId="88" xfId="0" applyFont="1" applyBorder="1" applyAlignment="1" applyProtection="1">
      <alignment horizontal="center" vertical="center" wrapText="1"/>
      <protection hidden="1"/>
    </xf>
    <xf numFmtId="0" fontId="139" fillId="0" borderId="72" xfId="0" applyFont="1" applyBorder="1" applyAlignment="1" applyProtection="1">
      <alignment horizontal="center" vertical="center" wrapText="1"/>
      <protection hidden="1"/>
    </xf>
    <xf numFmtId="0" fontId="139" fillId="0" borderId="70" xfId="0" applyFont="1" applyBorder="1" applyAlignment="1" applyProtection="1">
      <alignment horizontal="center" vertical="center" wrapText="1"/>
      <protection hidden="1"/>
    </xf>
    <xf numFmtId="3" fontId="135" fillId="0" borderId="96" xfId="0" applyNumberFormat="1" applyFont="1" applyBorder="1" applyAlignment="1" applyProtection="1">
      <alignment horizontal="center" vertical="center" shrinkToFit="1"/>
      <protection hidden="1"/>
    </xf>
    <xf numFmtId="0" fontId="135" fillId="0" borderId="112" xfId="0" applyFont="1" applyBorder="1" applyAlignment="1" applyProtection="1">
      <alignment horizontal="center" vertical="center" wrapText="1"/>
      <protection hidden="1"/>
    </xf>
    <xf numFmtId="0" fontId="135" fillId="0" borderId="18" xfId="0" applyFont="1" applyBorder="1" applyAlignment="1" applyProtection="1">
      <alignment horizontal="center" vertical="center" wrapText="1"/>
      <protection hidden="1"/>
    </xf>
    <xf numFmtId="0" fontId="135" fillId="0" borderId="60" xfId="0" applyFont="1" applyBorder="1" applyAlignment="1" applyProtection="1">
      <alignment horizontal="center" vertical="center" wrapText="1"/>
      <protection hidden="1"/>
    </xf>
    <xf numFmtId="4" fontId="151" fillId="0" borderId="113" xfId="0" applyNumberFormat="1" applyFont="1" applyBorder="1" applyAlignment="1" applyProtection="1">
      <alignment horizontal="right" vertical="center" shrinkToFit="1"/>
      <protection hidden="1"/>
    </xf>
    <xf numFmtId="4" fontId="134" fillId="3" borderId="106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7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107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32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22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53" xfId="0" applyNumberFormat="1" applyFont="1" applyFill="1" applyBorder="1" applyAlignment="1" applyProtection="1">
      <alignment horizontal="right" vertical="center" wrapText="1"/>
      <protection locked="0"/>
    </xf>
    <xf numFmtId="0" fontId="139" fillId="0" borderId="9" xfId="0" applyFont="1" applyBorder="1" applyAlignment="1" applyProtection="1">
      <alignment horizontal="center" vertical="center" wrapText="1"/>
      <protection hidden="1"/>
    </xf>
    <xf numFmtId="0" fontId="139" fillId="0" borderId="101" xfId="0" applyFont="1" applyBorder="1" applyAlignment="1" applyProtection="1">
      <alignment horizontal="center" vertical="center" wrapText="1"/>
      <protection hidden="1"/>
    </xf>
    <xf numFmtId="0" fontId="139" fillId="0" borderId="83" xfId="0" applyFont="1" applyBorder="1" applyAlignment="1" applyProtection="1">
      <alignment horizontal="center" vertical="center" wrapText="1"/>
      <protection hidden="1"/>
    </xf>
    <xf numFmtId="4" fontId="151" fillId="0" borderId="53" xfId="0" applyNumberFormat="1" applyFont="1" applyBorder="1" applyAlignment="1" applyProtection="1">
      <alignment horizontal="right" vertical="center" shrinkToFit="1"/>
      <protection hidden="1"/>
    </xf>
    <xf numFmtId="4" fontId="151" fillId="0" borderId="15" xfId="0" applyNumberFormat="1" applyFont="1" applyBorder="1" applyAlignment="1" applyProtection="1">
      <alignment horizontal="right" vertical="center" shrinkToFit="1"/>
      <protection hidden="1"/>
    </xf>
    <xf numFmtId="4" fontId="151" fillId="0" borderId="102" xfId="0" applyNumberFormat="1" applyFont="1" applyBorder="1" applyAlignment="1" applyProtection="1">
      <alignment horizontal="right" vertical="center" shrinkToFit="1"/>
      <protection hidden="1"/>
    </xf>
    <xf numFmtId="0" fontId="139" fillId="0" borderId="44" xfId="0" applyFont="1" applyBorder="1" applyAlignment="1" applyProtection="1">
      <alignment horizontal="center" vertical="center" wrapText="1"/>
      <protection hidden="1"/>
    </xf>
    <xf numFmtId="0" fontId="139" fillId="0" borderId="103" xfId="0" applyFont="1" applyBorder="1" applyAlignment="1" applyProtection="1">
      <alignment horizontal="center" vertical="center" wrapText="1"/>
      <protection hidden="1"/>
    </xf>
    <xf numFmtId="0" fontId="139" fillId="0" borderId="104" xfId="0" applyFont="1" applyBorder="1" applyAlignment="1" applyProtection="1">
      <alignment horizontal="center" vertical="center" wrapText="1"/>
      <protection hidden="1"/>
    </xf>
    <xf numFmtId="0" fontId="139" fillId="0" borderId="105" xfId="0" applyFont="1" applyBorder="1" applyAlignment="1" applyProtection="1">
      <alignment horizontal="center" vertical="center" wrapText="1"/>
      <protection hidden="1"/>
    </xf>
    <xf numFmtId="0" fontId="143" fillId="3" borderId="32" xfId="0" applyFont="1" applyFill="1" applyBorder="1" applyAlignment="1" applyProtection="1">
      <alignment horizontal="center" vertical="center" shrinkToFit="1"/>
      <protection locked="0"/>
    </xf>
    <xf numFmtId="0" fontId="143" fillId="3" borderId="22" xfId="0" applyFont="1" applyFill="1" applyBorder="1" applyAlignment="1" applyProtection="1">
      <alignment horizontal="center" vertical="center" shrinkToFit="1"/>
      <protection locked="0"/>
    </xf>
    <xf numFmtId="0" fontId="143" fillId="3" borderId="53" xfId="0" applyFont="1" applyFill="1" applyBorder="1" applyAlignment="1" applyProtection="1">
      <alignment horizontal="center" vertical="center" shrinkToFit="1"/>
      <protection locked="0"/>
    </xf>
    <xf numFmtId="170" fontId="150" fillId="3" borderId="106" xfId="0" applyNumberFormat="1" applyFont="1" applyFill="1" applyBorder="1" applyAlignment="1" applyProtection="1">
      <alignment horizontal="center" vertical="center" wrapText="1"/>
      <protection locked="0"/>
    </xf>
    <xf numFmtId="170" fontId="150" fillId="3" borderId="107" xfId="0" applyNumberFormat="1" applyFont="1" applyFill="1" applyBorder="1" applyAlignment="1" applyProtection="1">
      <alignment horizontal="center" vertical="center" wrapText="1"/>
      <protection locked="0"/>
    </xf>
    <xf numFmtId="14" fontId="150" fillId="3" borderId="100" xfId="0" applyNumberFormat="1" applyFont="1" applyFill="1" applyBorder="1" applyAlignment="1" applyProtection="1">
      <alignment horizontal="center" vertical="center" wrapText="1"/>
      <protection locked="0"/>
    </xf>
    <xf numFmtId="0" fontId="150" fillId="3" borderId="4" xfId="0" applyFont="1" applyFill="1" applyBorder="1" applyAlignment="1" applyProtection="1">
      <alignment horizontal="center" vertical="center" wrapText="1"/>
      <protection locked="0"/>
    </xf>
    <xf numFmtId="0" fontId="150" fillId="3" borderId="90" xfId="0" applyFont="1" applyFill="1" applyBorder="1" applyAlignment="1" applyProtection="1">
      <alignment horizontal="center" vertical="center" wrapText="1"/>
      <protection locked="0"/>
    </xf>
    <xf numFmtId="0" fontId="134" fillId="3" borderId="32" xfId="0" applyFont="1" applyFill="1" applyBorder="1" applyAlignment="1" applyProtection="1">
      <alignment horizontal="center" vertical="center" wrapText="1"/>
      <protection locked="0"/>
    </xf>
    <xf numFmtId="0" fontId="134" fillId="3" borderId="22" xfId="0" applyFont="1" applyFill="1" applyBorder="1" applyAlignment="1" applyProtection="1">
      <alignment horizontal="center" vertical="center" wrapText="1"/>
      <protection locked="0"/>
    </xf>
    <xf numFmtId="0" fontId="134" fillId="3" borderId="53" xfId="0" applyFont="1" applyFill="1" applyBorder="1" applyAlignment="1" applyProtection="1">
      <alignment horizontal="center" vertical="center" wrapText="1"/>
      <protection locked="0"/>
    </xf>
    <xf numFmtId="4" fontId="134" fillId="3" borderId="21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15" xfId="0" applyNumberFormat="1" applyFont="1" applyFill="1" applyBorder="1" applyAlignment="1" applyProtection="1">
      <alignment horizontal="right" vertical="center" wrapText="1"/>
      <protection locked="0"/>
    </xf>
    <xf numFmtId="0" fontId="134" fillId="3" borderId="106" xfId="0" applyFont="1" applyFill="1" applyBorder="1" applyAlignment="1" applyProtection="1">
      <alignment horizontal="center" vertical="center" wrapText="1"/>
      <protection locked="0"/>
    </xf>
    <xf numFmtId="0" fontId="134" fillId="3" borderId="95" xfId="0" applyFont="1" applyFill="1" applyBorder="1" applyAlignment="1" applyProtection="1">
      <alignment horizontal="center" vertical="center" wrapText="1"/>
      <protection locked="0"/>
    </xf>
    <xf numFmtId="0" fontId="134" fillId="3" borderId="111" xfId="0" applyFont="1" applyFill="1" applyBorder="1" applyAlignment="1" applyProtection="1">
      <alignment horizontal="center" vertical="center" wrapText="1"/>
      <protection locked="0"/>
    </xf>
    <xf numFmtId="170" fontId="150" fillId="3" borderId="32" xfId="0" applyNumberFormat="1" applyFont="1" applyFill="1" applyBorder="1" applyAlignment="1" applyProtection="1">
      <alignment horizontal="center" vertical="center" wrapText="1"/>
      <protection locked="0"/>
    </xf>
    <xf numFmtId="170" fontId="150" fillId="3" borderId="53" xfId="0" applyNumberFormat="1" applyFont="1" applyFill="1" applyBorder="1" applyAlignment="1" applyProtection="1">
      <alignment horizontal="center" vertical="center" wrapText="1"/>
      <protection locked="0"/>
    </xf>
    <xf numFmtId="0" fontId="150" fillId="3" borderId="32" xfId="0" applyFont="1" applyFill="1" applyBorder="1" applyAlignment="1" applyProtection="1">
      <alignment horizontal="center" vertical="center" wrapText="1"/>
      <protection locked="0"/>
    </xf>
    <xf numFmtId="0" fontId="150" fillId="3" borderId="22" xfId="0" applyFont="1" applyFill="1" applyBorder="1" applyAlignment="1" applyProtection="1">
      <alignment horizontal="center" vertical="center" wrapText="1"/>
      <protection locked="0"/>
    </xf>
    <xf numFmtId="0" fontId="150" fillId="3" borderId="53" xfId="0" applyFont="1" applyFill="1" applyBorder="1" applyAlignment="1" applyProtection="1">
      <alignment horizontal="center" vertical="center" wrapText="1"/>
      <protection locked="0"/>
    </xf>
    <xf numFmtId="0" fontId="134" fillId="3" borderId="7" xfId="0" applyFont="1" applyFill="1" applyBorder="1" applyAlignment="1" applyProtection="1">
      <alignment horizontal="center" vertical="center" wrapText="1"/>
      <protection locked="0"/>
    </xf>
    <xf numFmtId="4" fontId="134" fillId="3" borderId="6" xfId="0" applyNumberFormat="1" applyFont="1" applyFill="1" applyBorder="1" applyAlignment="1" applyProtection="1">
      <alignment horizontal="right" vertical="center" wrapText="1"/>
      <protection locked="0"/>
    </xf>
    <xf numFmtId="4" fontId="134" fillId="3" borderId="8" xfId="0" applyNumberFormat="1" applyFont="1" applyFill="1" applyBorder="1" applyAlignment="1" applyProtection="1">
      <alignment horizontal="right" vertical="center" wrapText="1"/>
      <protection locked="0"/>
    </xf>
    <xf numFmtId="0" fontId="135" fillId="0" borderId="101" xfId="0" applyFont="1" applyBorder="1" applyAlignment="1" applyProtection="1">
      <alignment horizontal="center" vertical="center" wrapText="1"/>
      <protection hidden="1"/>
    </xf>
    <xf numFmtId="0" fontId="135" fillId="0" borderId="83" xfId="0" applyFont="1" applyBorder="1" applyAlignment="1" applyProtection="1">
      <alignment horizontal="center" vertical="center" wrapText="1"/>
      <protection hidden="1"/>
    </xf>
    <xf numFmtId="0" fontId="135" fillId="0" borderId="58" xfId="0" applyFont="1" applyBorder="1" applyAlignment="1" applyProtection="1">
      <alignment horizontal="center" vertical="center" wrapText="1"/>
      <protection hidden="1"/>
    </xf>
    <xf numFmtId="4" fontId="151" fillId="0" borderId="34" xfId="0" applyNumberFormat="1" applyFont="1" applyBorder="1" applyAlignment="1" applyProtection="1">
      <alignment horizontal="right" vertical="center" shrinkToFit="1"/>
      <protection hidden="1"/>
    </xf>
    <xf numFmtId="0" fontId="139" fillId="0" borderId="108" xfId="0" applyFont="1" applyBorder="1" applyAlignment="1" applyProtection="1">
      <alignment horizontal="center" vertical="center" wrapText="1"/>
      <protection hidden="1"/>
    </xf>
    <xf numFmtId="0" fontId="139" fillId="0" borderId="27" xfId="0" applyFont="1" applyBorder="1" applyAlignment="1" applyProtection="1">
      <alignment horizontal="center" vertical="center" wrapText="1"/>
      <protection hidden="1"/>
    </xf>
    <xf numFmtId="0" fontId="139" fillId="0" borderId="26" xfId="0" applyFont="1" applyBorder="1" applyAlignment="1" applyProtection="1">
      <alignment horizontal="center" vertical="center" wrapText="1"/>
      <protection hidden="1"/>
    </xf>
    <xf numFmtId="4" fontId="139" fillId="0" borderId="25" xfId="0" applyNumberFormat="1" applyFont="1" applyBorder="1" applyAlignment="1" applyProtection="1">
      <alignment horizontal="right" vertical="center" shrinkToFit="1"/>
      <protection hidden="1"/>
    </xf>
    <xf numFmtId="4" fontId="139" fillId="0" borderId="18" xfId="0" applyNumberFormat="1" applyFont="1" applyBorder="1" applyAlignment="1" applyProtection="1">
      <alignment horizontal="right" vertical="center" shrinkToFit="1"/>
      <protection hidden="1"/>
    </xf>
    <xf numFmtId="4" fontId="139" fillId="0" borderId="109" xfId="0" applyNumberFormat="1" applyFont="1" applyBorder="1" applyAlignment="1" applyProtection="1">
      <alignment horizontal="right" vertical="center" shrinkToFit="1"/>
      <protection hidden="1"/>
    </xf>
    <xf numFmtId="4" fontId="139" fillId="0" borderId="97" xfId="0" applyNumberFormat="1" applyFont="1" applyBorder="1" applyAlignment="1" applyProtection="1">
      <alignment horizontal="right" vertical="center" shrinkToFit="1"/>
      <protection hidden="1"/>
    </xf>
    <xf numFmtId="4" fontId="139" fillId="0" borderId="110" xfId="0" applyNumberFormat="1" applyFont="1" applyBorder="1" applyAlignment="1" applyProtection="1">
      <alignment horizontal="right" vertical="center" shrinkToFit="1"/>
      <protection hidden="1"/>
    </xf>
    <xf numFmtId="4" fontId="134" fillId="2" borderId="116" xfId="0" applyNumberFormat="1" applyFont="1" applyFill="1" applyBorder="1" applyAlignment="1" applyProtection="1">
      <alignment horizontal="center" vertical="center" shrinkToFit="1"/>
      <protection hidden="1"/>
    </xf>
    <xf numFmtId="4" fontId="134" fillId="2" borderId="13" xfId="0" applyNumberFormat="1" applyFont="1" applyFill="1" applyBorder="1" applyAlignment="1" applyProtection="1">
      <alignment horizontal="center" vertical="center" shrinkToFit="1"/>
      <protection hidden="1"/>
    </xf>
    <xf numFmtId="0" fontId="21" fillId="0" borderId="6" xfId="0" applyFont="1" applyBorder="1" applyAlignment="1" applyProtection="1">
      <alignment horizontal="center" vertical="center" wrapText="1"/>
      <protection hidden="1"/>
    </xf>
    <xf numFmtId="0" fontId="21" fillId="0" borderId="8" xfId="0" applyFont="1" applyBorder="1" applyAlignment="1" applyProtection="1">
      <alignment horizontal="center" vertical="center" wrapText="1"/>
      <protection hidden="1"/>
    </xf>
    <xf numFmtId="0" fontId="21" fillId="0" borderId="115" xfId="0" applyFont="1" applyBorder="1" applyAlignment="1" applyProtection="1">
      <alignment horizontal="center" vertical="center" wrapText="1"/>
      <protection hidden="1"/>
    </xf>
    <xf numFmtId="0" fontId="21" fillId="0" borderId="118" xfId="0" applyFont="1" applyBorder="1" applyAlignment="1" applyProtection="1">
      <alignment horizontal="center" vertical="center" wrapText="1"/>
      <protection hidden="1"/>
    </xf>
    <xf numFmtId="0" fontId="21" fillId="0" borderId="14" xfId="0" applyFont="1" applyBorder="1" applyAlignment="1" applyProtection="1">
      <alignment horizontal="center" vertical="center" wrapText="1"/>
      <protection hidden="1"/>
    </xf>
    <xf numFmtId="0" fontId="21" fillId="0" borderId="119" xfId="0" applyFont="1" applyBorder="1" applyAlignment="1" applyProtection="1">
      <alignment horizontal="center" vertical="center" wrapText="1"/>
      <protection hidden="1"/>
    </xf>
    <xf numFmtId="4" fontId="135" fillId="0" borderId="120" xfId="0" applyNumberFormat="1" applyFont="1" applyBorder="1" applyAlignment="1" applyProtection="1">
      <alignment horizontal="center" vertical="center" shrinkToFit="1"/>
      <protection hidden="1"/>
    </xf>
    <xf numFmtId="4" fontId="135" fillId="0" borderId="25" xfId="0" applyNumberFormat="1" applyFont="1" applyBorder="1" applyAlignment="1" applyProtection="1">
      <alignment horizontal="center" vertical="center" shrinkToFit="1"/>
      <protection hidden="1"/>
    </xf>
    <xf numFmtId="0" fontId="21" fillId="0" borderId="24" xfId="0" applyFont="1" applyBorder="1" applyAlignment="1" applyProtection="1">
      <alignment horizontal="left" vertical="center" wrapText="1"/>
      <protection hidden="1"/>
    </xf>
    <xf numFmtId="0" fontId="21" fillId="0" borderId="38" xfId="0" applyFont="1" applyBorder="1" applyAlignment="1" applyProtection="1">
      <alignment horizontal="left" vertical="center" wrapText="1"/>
      <protection hidden="1"/>
    </xf>
    <xf numFmtId="0" fontId="21" fillId="0" borderId="0" xfId="0" applyFont="1" applyAlignment="1" applyProtection="1">
      <alignment horizontal="left" vertical="center" wrapText="1"/>
      <protection hidden="1"/>
    </xf>
    <xf numFmtId="3" fontId="21" fillId="0" borderId="0" xfId="0" applyNumberFormat="1" applyFont="1" applyAlignment="1" applyProtection="1">
      <alignment horizontal="center" vertical="center"/>
      <protection hidden="1"/>
    </xf>
    <xf numFmtId="4" fontId="134" fillId="2" borderId="121" xfId="0" applyNumberFormat="1" applyFont="1" applyFill="1" applyBorder="1" applyAlignment="1" applyProtection="1">
      <alignment horizontal="center" vertical="center" shrinkToFit="1"/>
      <protection hidden="1"/>
    </xf>
    <xf numFmtId="4" fontId="134" fillId="2" borderId="73" xfId="0" applyNumberFormat="1" applyFont="1" applyFill="1" applyBorder="1" applyAlignment="1" applyProtection="1">
      <alignment horizontal="center" vertical="center" shrinkToFit="1"/>
      <protection hidden="1"/>
    </xf>
    <xf numFmtId="3" fontId="21" fillId="0" borderId="122" xfId="0" applyNumberFormat="1" applyFont="1" applyBorder="1" applyAlignment="1" applyProtection="1">
      <alignment horizontal="center" vertical="center"/>
      <protection hidden="1"/>
    </xf>
    <xf numFmtId="3" fontId="21" fillId="0" borderId="119" xfId="0" applyNumberFormat="1" applyFont="1" applyBorder="1" applyAlignment="1" applyProtection="1">
      <alignment horizontal="center" vertical="center"/>
      <protection hidden="1"/>
    </xf>
    <xf numFmtId="0" fontId="20" fillId="0" borderId="54" xfId="0" applyFont="1" applyBorder="1" applyAlignment="1" applyProtection="1">
      <alignment horizontal="left" vertical="center" wrapText="1"/>
      <protection hidden="1"/>
    </xf>
    <xf numFmtId="0" fontId="20" fillId="0" borderId="55" xfId="0" applyFont="1" applyBorder="1" applyAlignment="1" applyProtection="1">
      <alignment horizontal="left" vertical="center" wrapText="1"/>
      <protection hidden="1"/>
    </xf>
    <xf numFmtId="0" fontId="20" fillId="0" borderId="56" xfId="0" applyFont="1" applyBorder="1" applyAlignment="1" applyProtection="1">
      <alignment horizontal="left" vertical="center" wrapText="1"/>
      <protection hidden="1"/>
    </xf>
    <xf numFmtId="0" fontId="20" fillId="0" borderId="57" xfId="0" applyFont="1" applyBorder="1" applyAlignment="1" applyProtection="1">
      <alignment horizontal="left" vertical="center" wrapText="1"/>
      <protection hidden="1"/>
    </xf>
    <xf numFmtId="0" fontId="20" fillId="0" borderId="2" xfId="0" applyFont="1" applyBorder="1" applyAlignment="1" applyProtection="1">
      <alignment horizontal="left" vertical="center" wrapText="1"/>
      <protection hidden="1"/>
    </xf>
    <xf numFmtId="0" fontId="20" fillId="0" borderId="58" xfId="0" applyFont="1" applyBorder="1" applyAlignment="1" applyProtection="1">
      <alignment horizontal="left" vertical="center" wrapText="1"/>
      <protection hidden="1"/>
    </xf>
    <xf numFmtId="3" fontId="139" fillId="0" borderId="21" xfId="1213" applyNumberFormat="1" applyFont="1" applyBorder="1" applyAlignment="1" applyProtection="1">
      <alignment horizontal="center" vertical="center" shrinkToFit="1"/>
      <protection hidden="1"/>
    </xf>
    <xf numFmtId="3" fontId="139" fillId="0" borderId="102" xfId="1213" applyNumberFormat="1" applyFont="1" applyBorder="1" applyAlignment="1" applyProtection="1">
      <alignment horizontal="center" vertical="center" shrinkToFit="1"/>
      <protection hidden="1"/>
    </xf>
    <xf numFmtId="3" fontId="138" fillId="0" borderId="15" xfId="1213" applyNumberFormat="1" applyFont="1" applyBorder="1" applyAlignment="1" applyProtection="1">
      <alignment horizontal="center" vertical="center" shrinkToFit="1"/>
      <protection hidden="1"/>
    </xf>
    <xf numFmtId="3" fontId="138" fillId="0" borderId="32" xfId="1213" applyNumberFormat="1" applyFont="1" applyBorder="1" applyAlignment="1" applyProtection="1">
      <alignment horizontal="center" vertical="center" shrinkToFit="1"/>
      <protection hidden="1"/>
    </xf>
    <xf numFmtId="3" fontId="134" fillId="0" borderId="106" xfId="0" applyNumberFormat="1" applyFont="1" applyBorder="1" applyAlignment="1" applyProtection="1">
      <alignment horizontal="center" vertical="center" shrinkToFit="1"/>
      <protection hidden="1"/>
    </xf>
    <xf numFmtId="3" fontId="134" fillId="0" borderId="7" xfId="0" applyNumberFormat="1" applyFont="1" applyBorder="1" applyAlignment="1" applyProtection="1">
      <alignment horizontal="center" vertical="center" shrinkToFit="1"/>
      <protection hidden="1"/>
    </xf>
    <xf numFmtId="3" fontId="135" fillId="0" borderId="32" xfId="0" applyNumberFormat="1" applyFont="1" applyBorder="1" applyAlignment="1" applyProtection="1">
      <alignment horizontal="right" vertical="center" shrinkToFit="1"/>
      <protection hidden="1"/>
    </xf>
    <xf numFmtId="3" fontId="135" fillId="0" borderId="145" xfId="0" applyNumberFormat="1" applyFont="1" applyBorder="1" applyAlignment="1" applyProtection="1">
      <alignment horizontal="right" vertical="center" shrinkToFit="1"/>
      <protection hidden="1"/>
    </xf>
    <xf numFmtId="0" fontId="62" fillId="0" borderId="144" xfId="0" applyFont="1" applyBorder="1" applyAlignment="1" applyProtection="1">
      <alignment horizontal="left" vertical="center" wrapText="1"/>
      <protection hidden="1"/>
    </xf>
    <xf numFmtId="0" fontId="62" fillId="0" borderId="22" xfId="0" applyFont="1" applyBorder="1" applyAlignment="1" applyProtection="1">
      <alignment horizontal="left" vertical="center" wrapText="1"/>
      <protection hidden="1"/>
    </xf>
    <xf numFmtId="0" fontId="62" fillId="0" borderId="53" xfId="0" applyFont="1" applyBorder="1" applyAlignment="1" applyProtection="1">
      <alignment horizontal="left" vertical="center" wrapText="1"/>
      <protection hidden="1"/>
    </xf>
    <xf numFmtId="4" fontId="134" fillId="35" borderId="32" xfId="0" applyNumberFormat="1" applyFont="1" applyFill="1" applyBorder="1" applyAlignment="1">
      <alignment horizontal="center" vertical="center" shrinkToFit="1"/>
    </xf>
    <xf numFmtId="4" fontId="134" fillId="35" borderId="53" xfId="0" applyNumberFormat="1" applyFont="1" applyFill="1" applyBorder="1" applyAlignment="1">
      <alignment horizontal="center" vertical="center" shrinkToFit="1"/>
    </xf>
    <xf numFmtId="3" fontId="135" fillId="0" borderId="15" xfId="0" applyNumberFormat="1" applyFont="1" applyBorder="1" applyAlignment="1" applyProtection="1">
      <alignment horizontal="right" vertical="center" shrinkToFit="1"/>
      <protection hidden="1"/>
    </xf>
    <xf numFmtId="3" fontId="135" fillId="0" borderId="102" xfId="0" applyNumberFormat="1" applyFont="1" applyBorder="1" applyAlignment="1" applyProtection="1">
      <alignment horizontal="right" vertical="center" shrinkToFit="1"/>
      <protection hidden="1"/>
    </xf>
    <xf numFmtId="3" fontId="138" fillId="0" borderId="10" xfId="0" applyNumberFormat="1" applyFont="1" applyBorder="1" applyAlignment="1" applyProtection="1">
      <alignment horizontal="center" vertical="center"/>
      <protection hidden="1"/>
    </xf>
    <xf numFmtId="3" fontId="138" fillId="0" borderId="11" xfId="0" applyNumberFormat="1" applyFont="1" applyBorder="1" applyAlignment="1" applyProtection="1">
      <alignment horizontal="center" vertical="center"/>
      <protection hidden="1"/>
    </xf>
    <xf numFmtId="0" fontId="59" fillId="0" borderId="144" xfId="0" applyFont="1" applyBorder="1" applyAlignment="1" applyProtection="1">
      <alignment horizontal="left" vertical="center" wrapText="1"/>
      <protection hidden="1"/>
    </xf>
    <xf numFmtId="0" fontId="59" fillId="0" borderId="22" xfId="0" applyFont="1" applyBorder="1" applyAlignment="1" applyProtection="1">
      <alignment horizontal="left" vertical="center" wrapText="1"/>
      <protection hidden="1"/>
    </xf>
    <xf numFmtId="0" fontId="59" fillId="0" borderId="53" xfId="0" applyFont="1" applyBorder="1" applyAlignment="1" applyProtection="1">
      <alignment horizontal="left" vertical="center" wrapText="1"/>
      <protection hidden="1"/>
    </xf>
    <xf numFmtId="3" fontId="134" fillId="3" borderId="15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32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53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71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69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00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90" xfId="0" applyNumberFormat="1" applyFont="1" applyFill="1" applyBorder="1" applyAlignment="1" applyProtection="1">
      <alignment horizontal="center" vertical="center" shrinkToFit="1"/>
      <protection locked="0"/>
    </xf>
    <xf numFmtId="3" fontId="138" fillId="0" borderId="53" xfId="0" applyNumberFormat="1" applyFont="1" applyBorder="1" applyAlignment="1" applyProtection="1">
      <alignment horizontal="center" vertical="center"/>
      <protection hidden="1"/>
    </xf>
    <xf numFmtId="3" fontId="138" fillId="0" borderId="15" xfId="0" applyNumberFormat="1" applyFont="1" applyBorder="1" applyAlignment="1" applyProtection="1">
      <alignment horizontal="center" vertical="center"/>
      <protection hidden="1"/>
    </xf>
    <xf numFmtId="3" fontId="138" fillId="0" borderId="139" xfId="0" applyNumberFormat="1" applyFont="1" applyBorder="1" applyAlignment="1" applyProtection="1">
      <alignment horizontal="center" vertical="center"/>
      <protection hidden="1"/>
    </xf>
    <xf numFmtId="3" fontId="139" fillId="3" borderId="53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34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2" xfId="0" applyNumberFormat="1" applyFont="1" applyBorder="1" applyAlignment="1" applyProtection="1">
      <alignment horizontal="center" vertical="center" shrinkToFit="1"/>
      <protection hidden="1"/>
    </xf>
    <xf numFmtId="3" fontId="139" fillId="0" borderId="33" xfId="0" applyNumberFormat="1" applyFont="1" applyBorder="1" applyAlignment="1" applyProtection="1">
      <alignment horizontal="center" vertical="center" shrinkToFit="1"/>
      <protection hidden="1"/>
    </xf>
    <xf numFmtId="3" fontId="139" fillId="3" borderId="10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44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1" xfId="1213" applyNumberFormat="1" applyFont="1" applyBorder="1" applyAlignment="1" applyProtection="1">
      <alignment horizontal="center" vertical="center"/>
      <protection hidden="1"/>
    </xf>
    <xf numFmtId="3" fontId="139" fillId="0" borderId="15" xfId="1213" applyNumberFormat="1" applyFont="1" applyBorder="1" applyAlignment="1" applyProtection="1">
      <alignment horizontal="center" vertical="center"/>
      <protection hidden="1"/>
    </xf>
    <xf numFmtId="3" fontId="139" fillId="0" borderId="34" xfId="1213" applyNumberFormat="1" applyFont="1" applyBorder="1" applyAlignment="1" applyProtection="1">
      <alignment horizontal="center" vertical="center"/>
      <protection hidden="1"/>
    </xf>
    <xf numFmtId="3" fontId="139" fillId="0" borderId="9" xfId="1213" applyNumberFormat="1" applyFont="1" applyBorder="1" applyAlignment="1" applyProtection="1">
      <alignment horizontal="center" vertical="center"/>
      <protection hidden="1"/>
    </xf>
    <xf numFmtId="3" fontId="139" fillId="0" borderId="11" xfId="1213" applyNumberFormat="1" applyFont="1" applyBorder="1" applyAlignment="1" applyProtection="1">
      <alignment horizontal="center" vertical="center"/>
      <protection hidden="1"/>
    </xf>
    <xf numFmtId="3" fontId="139" fillId="0" borderId="44" xfId="1213" applyNumberFormat="1" applyFont="1" applyBorder="1" applyAlignment="1" applyProtection="1">
      <alignment horizontal="center" vertical="center"/>
      <protection hidden="1"/>
    </xf>
    <xf numFmtId="3" fontId="139" fillId="0" borderId="13" xfId="0" applyNumberFormat="1" applyFont="1" applyBorder="1" applyAlignment="1" applyProtection="1">
      <alignment horizontal="center" vertical="center" shrinkToFit="1"/>
      <protection hidden="1"/>
    </xf>
    <xf numFmtId="3" fontId="139" fillId="0" borderId="125" xfId="0" applyNumberFormat="1" applyFont="1" applyBorder="1" applyAlignment="1" applyProtection="1">
      <alignment horizontal="center" vertical="center" shrinkToFit="1"/>
      <protection hidden="1"/>
    </xf>
    <xf numFmtId="3" fontId="138" fillId="0" borderId="102" xfId="0" applyNumberFormat="1" applyFont="1" applyBorder="1" applyAlignment="1" applyProtection="1">
      <alignment horizontal="center" vertical="center"/>
      <protection hidden="1"/>
    </xf>
    <xf numFmtId="4" fontId="134" fillId="0" borderId="32" xfId="0" applyNumberFormat="1" applyFont="1" applyBorder="1" applyAlignment="1">
      <alignment horizontal="center" vertical="center" shrinkToFit="1"/>
    </xf>
    <xf numFmtId="4" fontId="134" fillId="0" borderId="53" xfId="0" applyNumberFormat="1" applyFont="1" applyBorder="1" applyAlignment="1">
      <alignment horizontal="center" vertical="center" shrinkToFit="1"/>
    </xf>
    <xf numFmtId="3" fontId="138" fillId="3" borderId="107" xfId="1213" applyNumberFormat="1" applyFont="1" applyFill="1" applyBorder="1" applyAlignment="1" applyProtection="1">
      <alignment horizontal="center" vertical="top"/>
      <protection locked="0" hidden="1"/>
    </xf>
    <xf numFmtId="3" fontId="138" fillId="3" borderId="8" xfId="1213" applyNumberFormat="1" applyFont="1" applyFill="1" applyBorder="1" applyAlignment="1" applyProtection="1">
      <alignment horizontal="center" vertical="top"/>
      <protection locked="0" hidden="1"/>
    </xf>
    <xf numFmtId="3" fontId="139" fillId="0" borderId="7" xfId="0" applyNumberFormat="1" applyFont="1" applyBorder="1" applyAlignment="1" applyProtection="1">
      <alignment horizontal="center" vertical="center" shrinkToFit="1"/>
      <protection hidden="1"/>
    </xf>
    <xf numFmtId="3" fontId="139" fillId="0" borderId="95" xfId="0" applyNumberFormat="1" applyFont="1" applyBorder="1" applyAlignment="1" applyProtection="1">
      <alignment horizontal="center" vertical="center" shrinkToFit="1"/>
      <protection hidden="1"/>
    </xf>
    <xf numFmtId="3" fontId="138" fillId="3" borderId="8" xfId="0" applyNumberFormat="1" applyFont="1" applyFill="1" applyBorder="1" applyAlignment="1" applyProtection="1">
      <alignment horizontal="center" vertical="center"/>
      <protection locked="0"/>
    </xf>
    <xf numFmtId="3" fontId="138" fillId="3" borderId="138" xfId="0" applyNumberFormat="1" applyFont="1" applyFill="1" applyBorder="1" applyAlignment="1" applyProtection="1">
      <alignment horizontal="center" vertical="center"/>
      <protection locked="0"/>
    </xf>
    <xf numFmtId="3" fontId="138" fillId="3" borderId="15" xfId="0" applyNumberFormat="1" applyFont="1" applyFill="1" applyBorder="1" applyAlignment="1" applyProtection="1">
      <alignment horizontal="center" vertical="center"/>
      <protection locked="0"/>
    </xf>
    <xf numFmtId="3" fontId="138" fillId="3" borderId="102" xfId="0" applyNumberFormat="1" applyFont="1" applyFill="1" applyBorder="1" applyAlignment="1" applyProtection="1">
      <alignment horizontal="center" vertical="center"/>
      <protection locked="0"/>
    </xf>
    <xf numFmtId="3" fontId="138" fillId="3" borderId="53" xfId="1213" applyNumberFormat="1" applyFont="1" applyFill="1" applyBorder="1" applyAlignment="1" applyProtection="1">
      <alignment horizontal="center" vertical="top"/>
      <protection locked="0" hidden="1"/>
    </xf>
    <xf numFmtId="3" fontId="138" fillId="3" borderId="15" xfId="1213" applyNumberFormat="1" applyFont="1" applyFill="1" applyBorder="1" applyAlignment="1" applyProtection="1">
      <alignment horizontal="center" vertical="top"/>
      <protection locked="0" hidden="1"/>
    </xf>
    <xf numFmtId="0" fontId="152" fillId="0" borderId="15" xfId="0" applyFont="1" applyBorder="1" applyAlignment="1" applyProtection="1">
      <alignment horizontal="center" vertical="center" wrapText="1"/>
      <protection hidden="1"/>
    </xf>
    <xf numFmtId="0" fontId="152" fillId="0" borderId="102" xfId="0" applyFont="1" applyBorder="1" applyAlignment="1" applyProtection="1">
      <alignment horizontal="center" vertical="center" wrapText="1"/>
      <protection hidden="1"/>
    </xf>
    <xf numFmtId="0" fontId="152" fillId="0" borderId="11" xfId="0" applyFont="1" applyBorder="1" applyAlignment="1" applyProtection="1">
      <alignment horizontal="center" vertical="center" wrapText="1"/>
      <protection hidden="1"/>
    </xf>
    <xf numFmtId="0" fontId="152" fillId="0" borderId="139" xfId="0" applyFont="1" applyBorder="1" applyAlignment="1" applyProtection="1">
      <alignment horizontal="center" vertical="center" wrapText="1"/>
      <protection hidden="1"/>
    </xf>
    <xf numFmtId="0" fontId="142" fillId="0" borderId="0" xfId="1213" applyFont="1" applyAlignment="1" applyProtection="1">
      <alignment horizontal="center" vertical="top"/>
      <protection hidden="1"/>
    </xf>
    <xf numFmtId="3" fontId="153" fillId="0" borderId="39" xfId="1213" applyNumberFormat="1" applyFont="1" applyBorder="1" applyAlignment="1" applyProtection="1">
      <alignment horizontal="center" vertical="center" shrinkToFit="1"/>
      <protection hidden="1"/>
    </xf>
    <xf numFmtId="0" fontId="11" fillId="0" borderId="59" xfId="0" applyFont="1" applyBorder="1" applyAlignment="1" applyProtection="1">
      <alignment horizontal="center" vertical="center" wrapText="1"/>
      <protection hidden="1"/>
    </xf>
    <xf numFmtId="0" fontId="11" fillId="0" borderId="62" xfId="0" applyFont="1" applyBorder="1" applyAlignment="1" applyProtection="1">
      <alignment horizontal="center" vertical="center" wrapText="1"/>
      <protection hidden="1"/>
    </xf>
    <xf numFmtId="0" fontId="11" fillId="0" borderId="72" xfId="0" applyFont="1" applyBorder="1" applyAlignment="1" applyProtection="1">
      <alignment horizontal="center" vertical="center" wrapText="1"/>
      <protection hidden="1"/>
    </xf>
    <xf numFmtId="0" fontId="11" fillId="0" borderId="64" xfId="0" applyFont="1" applyBorder="1" applyAlignment="1" applyProtection="1">
      <alignment horizontal="center" vertical="center" wrapText="1"/>
      <protection hidden="1"/>
    </xf>
    <xf numFmtId="4" fontId="134" fillId="3" borderId="107" xfId="0" applyNumberFormat="1" applyFont="1" applyFill="1" applyBorder="1" applyAlignment="1" applyProtection="1">
      <alignment horizontal="center" vertical="center" shrinkToFit="1"/>
      <protection locked="0"/>
    </xf>
    <xf numFmtId="3" fontId="135" fillId="0" borderId="106" xfId="0" applyNumberFormat="1" applyFont="1" applyBorder="1" applyAlignment="1" applyProtection="1">
      <alignment horizontal="right" vertical="center" shrinkToFit="1"/>
      <protection hidden="1"/>
    </xf>
    <xf numFmtId="3" fontId="135" fillId="0" borderId="147" xfId="0" applyNumberFormat="1" applyFont="1" applyBorder="1" applyAlignment="1" applyProtection="1">
      <alignment horizontal="right" vertical="center" shrinkToFit="1"/>
      <protection hidden="1"/>
    </xf>
    <xf numFmtId="0" fontId="24" fillId="0" borderId="0" xfId="1213" applyFont="1" applyAlignment="1" applyProtection="1">
      <alignment horizontal="center" vertical="center" wrapText="1"/>
      <protection hidden="1"/>
    </xf>
    <xf numFmtId="1" fontId="31" fillId="0" borderId="27" xfId="1213" applyNumberFormat="1" applyFont="1" applyBorder="1" applyAlignment="1" applyProtection="1">
      <alignment horizontal="center" vertical="center" wrapText="1"/>
      <protection locked="0" hidden="1"/>
    </xf>
    <xf numFmtId="49" fontId="136" fillId="0" borderId="148" xfId="0" applyNumberFormat="1" applyFont="1" applyBorder="1" applyAlignment="1" applyProtection="1">
      <alignment horizontal="center" vertical="center" wrapText="1"/>
      <protection hidden="1"/>
    </xf>
    <xf numFmtId="49" fontId="136" fillId="0" borderId="113" xfId="0" applyNumberFormat="1" applyFont="1" applyBorder="1" applyAlignment="1" applyProtection="1">
      <alignment horizontal="center" vertical="center" wrapText="1"/>
      <protection hidden="1"/>
    </xf>
    <xf numFmtId="49" fontId="136" fillId="0" borderId="21" xfId="0" applyNumberFormat="1" applyFont="1" applyBorder="1" applyAlignment="1" applyProtection="1">
      <alignment horizontal="center" vertical="center" wrapText="1"/>
      <protection hidden="1"/>
    </xf>
    <xf numFmtId="49" fontId="136" fillId="0" borderId="34" xfId="0" applyNumberFormat="1" applyFont="1" applyBorder="1" applyAlignment="1" applyProtection="1">
      <alignment horizontal="center" vertical="center" wrapText="1"/>
      <protection hidden="1"/>
    </xf>
    <xf numFmtId="49" fontId="136" fillId="0" borderId="9" xfId="0" applyNumberFormat="1" applyFont="1" applyBorder="1" applyAlignment="1" applyProtection="1">
      <alignment horizontal="center" vertical="center" wrapText="1"/>
      <protection hidden="1"/>
    </xf>
    <xf numFmtId="49" fontId="136" fillId="0" borderId="44" xfId="0" applyNumberFormat="1" applyFont="1" applyBorder="1" applyAlignment="1" applyProtection="1">
      <alignment horizontal="center" vertical="center" wrapText="1"/>
      <protection hidden="1"/>
    </xf>
    <xf numFmtId="0" fontId="4" fillId="0" borderId="61" xfId="0" applyFont="1" applyBorder="1" applyAlignment="1" applyProtection="1">
      <alignment horizontal="center" vertical="center" wrapText="1"/>
      <protection hidden="1"/>
    </xf>
    <xf numFmtId="0" fontId="4" fillId="0" borderId="3" xfId="0" applyFont="1" applyBorder="1" applyAlignment="1" applyProtection="1">
      <alignment horizontal="center" vertical="center" wrapText="1"/>
      <protection hidden="1"/>
    </xf>
    <xf numFmtId="0" fontId="136" fillId="0" borderId="149" xfId="0" applyFont="1" applyBorder="1" applyAlignment="1" applyProtection="1">
      <alignment horizontal="center" vertical="center" wrapText="1"/>
      <protection hidden="1"/>
    </xf>
    <xf numFmtId="0" fontId="136" fillId="0" borderId="150" xfId="0" applyFont="1" applyBorder="1" applyAlignment="1" applyProtection="1">
      <alignment horizontal="center" vertical="center" wrapText="1"/>
      <protection hidden="1"/>
    </xf>
    <xf numFmtId="0" fontId="59" fillId="0" borderId="151" xfId="0" applyFont="1" applyBorder="1" applyAlignment="1" applyProtection="1">
      <alignment horizontal="left" vertical="center" wrapText="1"/>
      <protection hidden="1"/>
    </xf>
    <xf numFmtId="0" fontId="59" fillId="0" borderId="7" xfId="0" applyFont="1" applyBorder="1" applyAlignment="1" applyProtection="1">
      <alignment horizontal="left" vertical="center" wrapText="1"/>
      <protection hidden="1"/>
    </xf>
    <xf numFmtId="0" fontId="59" fillId="0" borderId="107" xfId="0" applyFont="1" applyBorder="1" applyAlignment="1" applyProtection="1">
      <alignment horizontal="left" vertical="center" wrapText="1"/>
      <protection hidden="1"/>
    </xf>
    <xf numFmtId="3" fontId="153" fillId="0" borderId="152" xfId="1213" applyNumberFormat="1" applyFont="1" applyBorder="1" applyAlignment="1" applyProtection="1">
      <alignment horizontal="center" vertical="center" shrinkToFit="1"/>
      <protection hidden="1"/>
    </xf>
    <xf numFmtId="0" fontId="148" fillId="0" borderId="8" xfId="1155" applyFont="1" applyBorder="1" applyAlignment="1" applyProtection="1">
      <alignment horizontal="center" vertical="center" wrapText="1"/>
      <protection hidden="1"/>
    </xf>
    <xf numFmtId="0" fontId="148" fillId="0" borderId="15" xfId="1155" applyFont="1" applyBorder="1" applyAlignment="1" applyProtection="1">
      <alignment horizontal="center" vertical="center" wrapText="1"/>
      <protection hidden="1"/>
    </xf>
    <xf numFmtId="0" fontId="148" fillId="0" borderId="11" xfId="1155" applyFont="1" applyBorder="1" applyAlignment="1" applyProtection="1">
      <alignment horizontal="center" vertical="center" wrapText="1"/>
      <protection hidden="1"/>
    </xf>
    <xf numFmtId="3" fontId="139" fillId="3" borderId="35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7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48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13" xfId="0" applyNumberFormat="1" applyFont="1" applyFill="1" applyBorder="1" applyAlignment="1" applyProtection="1">
      <alignment horizontal="center" vertical="center" shrinkToFit="1"/>
      <protection locked="0"/>
    </xf>
    <xf numFmtId="0" fontId="11" fillId="0" borderId="146" xfId="0" applyFont="1" applyBorder="1" applyAlignment="1" applyProtection="1">
      <alignment horizontal="center" vertical="center" wrapText="1"/>
      <protection hidden="1"/>
    </xf>
    <xf numFmtId="0" fontId="11" fillId="0" borderId="70" xfId="0" applyFont="1" applyBorder="1" applyAlignment="1" applyProtection="1">
      <alignment horizontal="center" vertical="center" wrapText="1"/>
      <protection hidden="1"/>
    </xf>
    <xf numFmtId="3" fontId="139" fillId="0" borderId="148" xfId="1213" applyNumberFormat="1" applyFont="1" applyBorder="1" applyAlignment="1" applyProtection="1">
      <alignment horizontal="center" vertical="center"/>
      <protection hidden="1"/>
    </xf>
    <xf numFmtId="3" fontId="139" fillId="0" borderId="12" xfId="1213" applyNumberFormat="1" applyFont="1" applyBorder="1" applyAlignment="1" applyProtection="1">
      <alignment horizontal="center" vertical="center"/>
      <protection hidden="1"/>
    </xf>
    <xf numFmtId="3" fontId="139" fillId="0" borderId="113" xfId="1213" applyNumberFormat="1" applyFont="1" applyBorder="1" applyAlignment="1" applyProtection="1">
      <alignment horizontal="center" vertical="center"/>
      <protection hidden="1"/>
    </xf>
    <xf numFmtId="0" fontId="152" fillId="0" borderId="53" xfId="0" applyFont="1" applyBorder="1" applyAlignment="1" applyProtection="1">
      <alignment horizontal="center" vertical="center" wrapText="1"/>
      <protection hidden="1"/>
    </xf>
    <xf numFmtId="0" fontId="152" fillId="0" borderId="10" xfId="0" applyFont="1" applyBorder="1" applyAlignment="1" applyProtection="1">
      <alignment horizontal="center" vertical="center" wrapText="1"/>
      <protection hidden="1"/>
    </xf>
    <xf numFmtId="3" fontId="139" fillId="3" borderId="90" xfId="0" applyNumberFormat="1" applyFont="1" applyFill="1" applyBorder="1" applyAlignment="1" applyProtection="1">
      <alignment horizontal="center" vertical="center" shrinkToFit="1"/>
      <protection locked="0"/>
    </xf>
    <xf numFmtId="0" fontId="13" fillId="0" borderId="0" xfId="1213" applyFont="1" applyAlignment="1" applyProtection="1">
      <alignment horizontal="center" vertical="center" textRotation="90" wrapText="1"/>
      <protection hidden="1"/>
    </xf>
    <xf numFmtId="0" fontId="146" fillId="0" borderId="11" xfId="1213" applyFont="1" applyBorder="1" applyAlignment="1" applyProtection="1">
      <alignment horizontal="center" vertical="center" wrapText="1"/>
      <protection hidden="1"/>
    </xf>
    <xf numFmtId="0" fontId="158" fillId="0" borderId="82" xfId="1155" applyFont="1" applyBorder="1" applyAlignment="1" applyProtection="1">
      <alignment horizontal="center" vertical="center" wrapText="1"/>
      <protection hidden="1"/>
    </xf>
    <xf numFmtId="0" fontId="158" fillId="0" borderId="55" xfId="1155" applyFont="1" applyBorder="1" applyAlignment="1" applyProtection="1">
      <alignment horizontal="center" vertical="center" wrapText="1"/>
      <protection hidden="1"/>
    </xf>
    <xf numFmtId="0" fontId="158" fillId="0" borderId="66" xfId="1155" applyFont="1" applyBorder="1" applyAlignment="1" applyProtection="1">
      <alignment horizontal="center" vertical="center" wrapText="1"/>
      <protection hidden="1"/>
    </xf>
    <xf numFmtId="0" fontId="158" fillId="0" borderId="0" xfId="1155" applyFont="1" applyBorder="1" applyAlignment="1" applyProtection="1">
      <alignment horizontal="center" vertical="center" wrapText="1"/>
      <protection hidden="1"/>
    </xf>
    <xf numFmtId="0" fontId="158" fillId="0" borderId="36" xfId="1155" applyFont="1" applyBorder="1" applyAlignment="1" applyProtection="1">
      <alignment horizontal="center" vertical="center" wrapText="1"/>
      <protection hidden="1"/>
    </xf>
    <xf numFmtId="0" fontId="158" fillId="0" borderId="2" xfId="1155" applyFont="1" applyBorder="1" applyAlignment="1" applyProtection="1">
      <alignment horizontal="center" vertical="center" wrapText="1"/>
      <protection hidden="1"/>
    </xf>
    <xf numFmtId="49" fontId="136" fillId="0" borderId="0" xfId="0" applyNumberFormat="1" applyFont="1" applyAlignment="1" applyProtection="1">
      <alignment horizontal="center" vertical="center" wrapText="1"/>
      <protection hidden="1"/>
    </xf>
    <xf numFmtId="49" fontId="136" fillId="0" borderId="83" xfId="0" applyNumberFormat="1" applyFont="1" applyBorder="1" applyAlignment="1" applyProtection="1">
      <alignment horizontal="center" vertical="center" wrapText="1"/>
      <protection hidden="1"/>
    </xf>
    <xf numFmtId="49" fontId="136" fillId="0" borderId="2" xfId="0" applyNumberFormat="1" applyFont="1" applyBorder="1" applyAlignment="1" applyProtection="1">
      <alignment horizontal="center" vertical="center" wrapText="1"/>
      <protection hidden="1"/>
    </xf>
    <xf numFmtId="49" fontId="136" fillId="0" borderId="58" xfId="0" applyNumberFormat="1" applyFont="1" applyBorder="1" applyAlignment="1" applyProtection="1">
      <alignment horizontal="center" vertical="center" wrapText="1"/>
      <protection hidden="1"/>
    </xf>
    <xf numFmtId="49" fontId="136" fillId="0" borderId="120" xfId="0" applyNumberFormat="1" applyFont="1" applyBorder="1" applyAlignment="1" applyProtection="1">
      <alignment horizontal="center" vertical="center" wrapText="1"/>
      <protection hidden="1"/>
    </xf>
    <xf numFmtId="49" fontId="136" fillId="0" borderId="153" xfId="0" applyNumberFormat="1" applyFont="1" applyBorder="1" applyAlignment="1" applyProtection="1">
      <alignment horizontal="center" vertical="center" wrapText="1"/>
      <protection hidden="1"/>
    </xf>
    <xf numFmtId="49" fontId="136" fillId="0" borderId="154" xfId="0" applyNumberFormat="1" applyFont="1" applyBorder="1" applyAlignment="1" applyProtection="1">
      <alignment horizontal="center" vertical="center" wrapText="1"/>
      <protection hidden="1"/>
    </xf>
    <xf numFmtId="49" fontId="136" fillId="0" borderId="155" xfId="0" applyNumberFormat="1" applyFont="1" applyBorder="1" applyAlignment="1" applyProtection="1">
      <alignment horizontal="center" vertical="center" wrapText="1"/>
      <protection hidden="1"/>
    </xf>
    <xf numFmtId="49" fontId="136" fillId="0" borderId="94" xfId="0" applyNumberFormat="1" applyFont="1" applyBorder="1" applyAlignment="1" applyProtection="1">
      <alignment horizontal="center" vertical="center" wrapText="1"/>
      <protection hidden="1"/>
    </xf>
    <xf numFmtId="49" fontId="136" fillId="0" borderId="92" xfId="0" applyNumberFormat="1" applyFont="1" applyBorder="1" applyAlignment="1" applyProtection="1">
      <alignment horizontal="center" vertical="center" wrapText="1"/>
      <protection hidden="1"/>
    </xf>
    <xf numFmtId="0" fontId="145" fillId="0" borderId="126" xfId="0" applyFont="1" applyBorder="1" applyAlignment="1" applyProtection="1">
      <alignment horizontal="center" vertical="center"/>
      <protection hidden="1"/>
    </xf>
    <xf numFmtId="0" fontId="145" fillId="0" borderId="50" xfId="0" applyFont="1" applyBorder="1" applyAlignment="1" applyProtection="1">
      <alignment horizontal="center" vertical="center"/>
      <protection hidden="1"/>
    </xf>
    <xf numFmtId="0" fontId="145" fillId="0" borderId="98" xfId="0" applyFont="1" applyBorder="1" applyAlignment="1" applyProtection="1">
      <alignment horizontal="center" vertical="center"/>
      <protection hidden="1"/>
    </xf>
    <xf numFmtId="0" fontId="145" fillId="0" borderId="57" xfId="0" applyFont="1" applyBorder="1" applyAlignment="1" applyProtection="1">
      <alignment horizontal="center" vertical="center"/>
      <protection hidden="1"/>
    </xf>
    <xf numFmtId="0" fontId="145" fillId="0" borderId="2" xfId="0" applyFont="1" applyBorder="1" applyAlignment="1" applyProtection="1">
      <alignment horizontal="center" vertical="center"/>
      <protection hidden="1"/>
    </xf>
    <xf numFmtId="0" fontId="145" fillId="0" borderId="64" xfId="0" applyFont="1" applyBorder="1" applyAlignment="1" applyProtection="1">
      <alignment horizontal="center" vertical="center"/>
      <protection hidden="1"/>
    </xf>
    <xf numFmtId="49" fontId="141" fillId="0" borderId="90" xfId="0" applyNumberFormat="1" applyFont="1" applyBorder="1" applyAlignment="1" applyProtection="1">
      <alignment horizontal="center" vertical="center" wrapText="1"/>
      <protection hidden="1"/>
    </xf>
    <xf numFmtId="49" fontId="141" fillId="0" borderId="12" xfId="0" applyNumberFormat="1" applyFont="1" applyBorder="1" applyAlignment="1" applyProtection="1">
      <alignment horizontal="center" vertical="center" wrapText="1"/>
      <protection hidden="1"/>
    </xf>
    <xf numFmtId="49" fontId="141" fillId="0" borderId="99" xfId="0" applyNumberFormat="1" applyFont="1" applyBorder="1" applyAlignment="1" applyProtection="1">
      <alignment horizontal="center" vertical="center" wrapText="1"/>
      <protection hidden="1"/>
    </xf>
    <xf numFmtId="49" fontId="141" fillId="0" borderId="53" xfId="0" applyNumberFormat="1" applyFont="1" applyBorder="1" applyAlignment="1" applyProtection="1">
      <alignment horizontal="center" vertical="center" wrapText="1"/>
      <protection hidden="1"/>
    </xf>
    <xf numFmtId="49" fontId="141" fillId="0" borderId="15" xfId="0" applyNumberFormat="1" applyFont="1" applyBorder="1" applyAlignment="1" applyProtection="1">
      <alignment horizontal="center" vertical="center" wrapText="1"/>
      <protection hidden="1"/>
    </xf>
    <xf numFmtId="49" fontId="141" fillId="0" borderId="102" xfId="0" applyNumberFormat="1" applyFont="1" applyBorder="1" applyAlignment="1" applyProtection="1">
      <alignment horizontal="center" vertical="center" wrapText="1"/>
      <protection hidden="1"/>
    </xf>
    <xf numFmtId="0" fontId="9" fillId="0" borderId="54" xfId="0" applyFont="1" applyBorder="1" applyAlignment="1" applyProtection="1">
      <alignment horizontal="center" vertical="center"/>
      <protection hidden="1"/>
    </xf>
    <xf numFmtId="0" fontId="9" fillId="0" borderId="55" xfId="0" applyFont="1" applyBorder="1" applyAlignment="1" applyProtection="1">
      <alignment horizontal="center" vertical="center"/>
      <protection hidden="1"/>
    </xf>
    <xf numFmtId="0" fontId="9" fillId="0" borderId="146" xfId="0" applyFont="1" applyBorder="1" applyAlignment="1" applyProtection="1">
      <alignment horizontal="center" vertical="center"/>
      <protection hidden="1"/>
    </xf>
    <xf numFmtId="0" fontId="9" fillId="0" borderId="57" xfId="0" applyFont="1" applyBorder="1" applyAlignment="1" applyProtection="1">
      <alignment horizontal="center" vertical="center"/>
      <protection hidden="1"/>
    </xf>
    <xf numFmtId="0" fontId="9" fillId="0" borderId="2" xfId="0" applyFont="1" applyBorder="1" applyAlignment="1" applyProtection="1">
      <alignment horizontal="center" vertical="center"/>
      <protection hidden="1"/>
    </xf>
    <xf numFmtId="0" fontId="9" fillId="0" borderId="70" xfId="0" applyFont="1" applyBorder="1" applyAlignment="1" applyProtection="1">
      <alignment horizontal="center" vertical="center"/>
      <protection hidden="1"/>
    </xf>
    <xf numFmtId="3" fontId="145" fillId="0" borderId="39" xfId="1213" applyNumberFormat="1" applyFont="1" applyBorder="1" applyAlignment="1" applyProtection="1">
      <alignment horizontal="center" vertical="center" shrinkToFit="1"/>
      <protection hidden="1"/>
    </xf>
    <xf numFmtId="49" fontId="136" fillId="0" borderId="90" xfId="0" applyNumberFormat="1" applyFont="1" applyBorder="1" applyAlignment="1" applyProtection="1">
      <alignment horizontal="center" vertical="center" wrapText="1"/>
      <protection hidden="1"/>
    </xf>
    <xf numFmtId="49" fontId="136" fillId="0" borderId="53" xfId="0" applyNumberFormat="1" applyFont="1" applyBorder="1" applyAlignment="1" applyProtection="1">
      <alignment horizontal="center" vertical="center" wrapText="1"/>
      <protection hidden="1"/>
    </xf>
    <xf numFmtId="49" fontId="136" fillId="0" borderId="10" xfId="0" applyNumberFormat="1" applyFont="1" applyBorder="1" applyAlignment="1" applyProtection="1">
      <alignment horizontal="center" vertical="center" wrapText="1"/>
      <protection hidden="1"/>
    </xf>
    <xf numFmtId="0" fontId="139" fillId="0" borderId="163" xfId="0" applyFont="1" applyBorder="1" applyAlignment="1" applyProtection="1">
      <alignment horizontal="center" vertical="center"/>
      <protection hidden="1"/>
    </xf>
    <xf numFmtId="0" fontId="139" fillId="0" borderId="128" xfId="0" applyFont="1" applyBorder="1" applyAlignment="1" applyProtection="1">
      <alignment horizontal="center" vertical="center"/>
      <protection hidden="1"/>
    </xf>
    <xf numFmtId="0" fontId="139" fillId="0" borderId="164" xfId="0" applyFont="1" applyBorder="1" applyAlignment="1" applyProtection="1">
      <alignment horizontal="center" vertical="center"/>
      <protection hidden="1"/>
    </xf>
    <xf numFmtId="49" fontId="136" fillId="0" borderId="66" xfId="0" applyNumberFormat="1" applyFont="1" applyBorder="1" applyAlignment="1" applyProtection="1">
      <alignment horizontal="center" vertical="center" wrapText="1"/>
      <protection hidden="1"/>
    </xf>
    <xf numFmtId="49" fontId="136" fillId="0" borderId="36" xfId="0" applyNumberFormat="1" applyFont="1" applyBorder="1" applyAlignment="1" applyProtection="1">
      <alignment horizontal="center" vertical="center" wrapText="1"/>
      <protection hidden="1"/>
    </xf>
    <xf numFmtId="3" fontId="145" fillId="0" borderId="165" xfId="1213" applyNumberFormat="1" applyFont="1" applyBorder="1" applyAlignment="1" applyProtection="1">
      <alignment horizontal="center" vertical="center" shrinkToFit="1"/>
      <protection hidden="1"/>
    </xf>
    <xf numFmtId="49" fontId="152" fillId="0" borderId="148" xfId="0" applyNumberFormat="1" applyFont="1" applyBorder="1" applyAlignment="1" applyProtection="1">
      <alignment horizontal="center" vertical="center" wrapText="1"/>
      <protection hidden="1"/>
    </xf>
    <xf numFmtId="49" fontId="152" fillId="0" borderId="12" xfId="0" applyNumberFormat="1" applyFont="1" applyBorder="1" applyAlignment="1" applyProtection="1">
      <alignment horizontal="center" vertical="center" wrapText="1"/>
      <protection hidden="1"/>
    </xf>
    <xf numFmtId="49" fontId="152" fillId="0" borderId="113" xfId="0" applyNumberFormat="1" applyFont="1" applyBorder="1" applyAlignment="1" applyProtection="1">
      <alignment horizontal="center" vertical="center" wrapText="1"/>
      <protection hidden="1"/>
    </xf>
    <xf numFmtId="49" fontId="152" fillId="0" borderId="21" xfId="0" applyNumberFormat="1" applyFont="1" applyBorder="1" applyAlignment="1" applyProtection="1">
      <alignment horizontal="center" vertical="center" wrapText="1"/>
      <protection hidden="1"/>
    </xf>
    <xf numFmtId="49" fontId="152" fillId="0" borderId="15" xfId="0" applyNumberFormat="1" applyFont="1" applyBorder="1" applyAlignment="1" applyProtection="1">
      <alignment horizontal="center" vertical="center" wrapText="1"/>
      <protection hidden="1"/>
    </xf>
    <xf numFmtId="49" fontId="152" fillId="0" borderId="34" xfId="0" applyNumberFormat="1" applyFont="1" applyBorder="1" applyAlignment="1" applyProtection="1">
      <alignment horizontal="center" vertical="center" wrapText="1"/>
      <protection hidden="1"/>
    </xf>
    <xf numFmtId="49" fontId="152" fillId="0" borderId="9" xfId="0" applyNumberFormat="1" applyFont="1" applyBorder="1" applyAlignment="1" applyProtection="1">
      <alignment horizontal="center" vertical="center" wrapText="1"/>
      <protection hidden="1"/>
    </xf>
    <xf numFmtId="49" fontId="152" fillId="0" borderId="11" xfId="0" applyNumberFormat="1" applyFont="1" applyBorder="1" applyAlignment="1" applyProtection="1">
      <alignment horizontal="center" vertical="center" wrapText="1"/>
      <protection hidden="1"/>
    </xf>
    <xf numFmtId="49" fontId="152" fillId="0" borderId="44" xfId="0" applyNumberFormat="1" applyFont="1" applyBorder="1" applyAlignment="1" applyProtection="1">
      <alignment horizontal="center" vertical="center" wrapText="1"/>
      <protection hidden="1"/>
    </xf>
    <xf numFmtId="49" fontId="135" fillId="0" borderId="24" xfId="1213" applyNumberFormat="1" applyFont="1" applyBorder="1" applyAlignment="1" applyProtection="1">
      <alignment horizontal="center" vertical="center" wrapText="1"/>
      <protection hidden="1"/>
    </xf>
    <xf numFmtId="49" fontId="135" fillId="0" borderId="38" xfId="1213" applyNumberFormat="1" applyFont="1" applyBorder="1" applyAlignment="1" applyProtection="1">
      <alignment horizontal="center" vertical="center" wrapText="1"/>
      <protection hidden="1"/>
    </xf>
    <xf numFmtId="49" fontId="136" fillId="0" borderId="77" xfId="0" applyNumberFormat="1" applyFont="1" applyBorder="1" applyAlignment="1" applyProtection="1">
      <alignment horizontal="center" vertical="center" wrapText="1"/>
      <protection hidden="1"/>
    </xf>
    <xf numFmtId="49" fontId="136" fillId="0" borderId="72" xfId="0" applyNumberFormat="1" applyFont="1" applyBorder="1" applyAlignment="1" applyProtection="1">
      <alignment horizontal="center" vertical="center" wrapText="1"/>
      <protection hidden="1"/>
    </xf>
    <xf numFmtId="0" fontId="148" fillId="0" borderId="59" xfId="1155" applyFont="1" applyBorder="1" applyAlignment="1" applyProtection="1">
      <alignment horizontal="center" vertical="center" wrapText="1"/>
      <protection hidden="1"/>
    </xf>
    <xf numFmtId="0" fontId="148" fillId="0" borderId="55" xfId="1155" applyFont="1" applyBorder="1" applyAlignment="1" applyProtection="1">
      <alignment horizontal="center" vertical="center" wrapText="1"/>
      <protection hidden="1"/>
    </xf>
    <xf numFmtId="0" fontId="148" fillId="0" borderId="77" xfId="1155" applyFont="1" applyBorder="1" applyAlignment="1" applyProtection="1">
      <alignment horizontal="center" vertical="center" wrapText="1"/>
      <protection hidden="1"/>
    </xf>
    <xf numFmtId="0" fontId="148" fillId="0" borderId="0" xfId="1155" applyFont="1" applyBorder="1" applyAlignment="1" applyProtection="1">
      <alignment horizontal="center" vertical="center" wrapText="1"/>
      <protection hidden="1"/>
    </xf>
    <xf numFmtId="0" fontId="148" fillId="0" borderId="72" xfId="1155" applyFont="1" applyBorder="1" applyAlignment="1" applyProtection="1">
      <alignment horizontal="center" vertical="center" wrapText="1"/>
      <protection hidden="1"/>
    </xf>
    <xf numFmtId="0" fontId="148" fillId="0" borderId="2" xfId="1155" applyFont="1" applyBorder="1" applyAlignment="1" applyProtection="1">
      <alignment horizontal="center" vertical="center" wrapText="1"/>
      <protection hidden="1"/>
    </xf>
    <xf numFmtId="3" fontId="153" fillId="0" borderId="78" xfId="1213" applyNumberFormat="1" applyFont="1" applyBorder="1" applyAlignment="1" applyProtection="1">
      <alignment horizontal="center" vertical="center" shrinkToFit="1"/>
      <protection hidden="1"/>
    </xf>
    <xf numFmtId="3" fontId="153" fillId="0" borderId="80" xfId="1213" applyNumberFormat="1" applyFont="1" applyBorder="1" applyAlignment="1" applyProtection="1">
      <alignment horizontal="center" vertical="center" shrinkToFit="1"/>
      <protection hidden="1"/>
    </xf>
    <xf numFmtId="0" fontId="6" fillId="0" borderId="0" xfId="1213" applyFont="1" applyAlignment="1" applyProtection="1">
      <alignment horizontal="center" vertical="top"/>
      <protection hidden="1"/>
    </xf>
    <xf numFmtId="1" fontId="67" fillId="0" borderId="0" xfId="1213" applyNumberFormat="1" applyFont="1" applyAlignment="1" applyProtection="1">
      <alignment horizontal="center" vertical="center"/>
      <protection hidden="1"/>
    </xf>
    <xf numFmtId="0" fontId="67" fillId="0" borderId="0" xfId="1213" applyFont="1" applyAlignment="1" applyProtection="1">
      <alignment horizontal="center" vertical="center"/>
      <protection hidden="1"/>
    </xf>
    <xf numFmtId="0" fontId="70" fillId="0" borderId="0" xfId="1213" applyFont="1" applyAlignment="1" applyProtection="1">
      <alignment horizontal="center" vertical="center"/>
      <protection hidden="1"/>
    </xf>
    <xf numFmtId="169" fontId="74" fillId="0" borderId="0" xfId="1213" applyNumberFormat="1" applyFont="1" applyAlignment="1" applyProtection="1">
      <alignment horizontal="center" vertical="center"/>
      <protection hidden="1"/>
    </xf>
    <xf numFmtId="0" fontId="159" fillId="0" borderId="0" xfId="1213" applyFont="1" applyAlignment="1" applyProtection="1">
      <alignment horizontal="center" vertical="center"/>
      <protection hidden="1"/>
    </xf>
    <xf numFmtId="0" fontId="40" fillId="0" borderId="0" xfId="1213" applyFont="1" applyAlignment="1" applyProtection="1">
      <alignment horizontal="center" vertical="center"/>
      <protection hidden="1"/>
    </xf>
    <xf numFmtId="0" fontId="44" fillId="0" borderId="0" xfId="1213" applyFont="1" applyAlignment="1" applyProtection="1">
      <alignment horizontal="left" vertical="top" wrapText="1"/>
      <protection hidden="1"/>
    </xf>
    <xf numFmtId="3" fontId="145" fillId="0" borderId="17" xfId="1213" applyNumberFormat="1" applyFont="1" applyBorder="1" applyAlignment="1" applyProtection="1">
      <alignment horizontal="center" vertical="center" shrinkToFit="1"/>
      <protection hidden="1"/>
    </xf>
    <xf numFmtId="0" fontId="153" fillId="0" borderId="101" xfId="1213" applyFont="1" applyBorder="1" applyAlignment="1" applyProtection="1">
      <alignment horizontal="center" vertical="center" wrapText="1"/>
      <protection hidden="1"/>
    </xf>
    <xf numFmtId="0" fontId="153" fillId="0" borderId="156" xfId="1213" applyFont="1" applyBorder="1" applyAlignment="1" applyProtection="1">
      <alignment horizontal="center" vertical="center" wrapText="1"/>
      <protection hidden="1"/>
    </xf>
    <xf numFmtId="0" fontId="153" fillId="0" borderId="74" xfId="1213" applyFont="1" applyBorder="1" applyAlignment="1" applyProtection="1">
      <alignment horizontal="center" vertical="center" wrapText="1"/>
      <protection hidden="1"/>
    </xf>
    <xf numFmtId="3" fontId="153" fillId="0" borderId="51" xfId="1471" applyNumberFormat="1" applyFont="1" applyFill="1" applyBorder="1" applyAlignment="1" applyProtection="1">
      <alignment horizontal="center" vertical="center" shrinkToFit="1"/>
      <protection hidden="1"/>
    </xf>
    <xf numFmtId="3" fontId="153" fillId="0" borderId="79" xfId="1471" applyNumberFormat="1" applyFont="1" applyFill="1" applyBorder="1" applyAlignment="1" applyProtection="1">
      <alignment horizontal="center" vertical="center" shrinkToFit="1"/>
      <protection hidden="1"/>
    </xf>
    <xf numFmtId="3" fontId="153" fillId="0" borderId="157" xfId="1471" applyNumberFormat="1" applyFont="1" applyFill="1" applyBorder="1" applyAlignment="1" applyProtection="1">
      <alignment horizontal="center" vertical="center" shrinkToFit="1"/>
      <protection hidden="1"/>
    </xf>
    <xf numFmtId="0" fontId="148" fillId="0" borderId="59" xfId="1213" applyFont="1" applyBorder="1" applyAlignment="1" applyProtection="1">
      <alignment horizontal="center" vertical="center" wrapText="1"/>
      <protection hidden="1"/>
    </xf>
    <xf numFmtId="0" fontId="148" fillId="0" borderId="55" xfId="1213" applyFont="1" applyBorder="1" applyAlignment="1" applyProtection="1">
      <alignment horizontal="center" vertical="center" wrapText="1"/>
      <protection hidden="1"/>
    </xf>
    <xf numFmtId="0" fontId="148" fillId="0" borderId="146" xfId="1213" applyFont="1" applyBorder="1" applyAlignment="1" applyProtection="1">
      <alignment horizontal="center" vertical="center" wrapText="1"/>
      <protection hidden="1"/>
    </xf>
    <xf numFmtId="0" fontId="148" fillId="0" borderId="77" xfId="1213" applyFont="1" applyBorder="1" applyAlignment="1" applyProtection="1">
      <alignment horizontal="center" vertical="center" wrapText="1"/>
      <protection hidden="1"/>
    </xf>
    <xf numFmtId="0" fontId="148" fillId="0" borderId="0" xfId="1213" applyFont="1" applyAlignment="1" applyProtection="1">
      <alignment horizontal="center" vertical="center" wrapText="1"/>
      <protection hidden="1"/>
    </xf>
    <xf numFmtId="0" fontId="148" fillId="0" borderId="88" xfId="1213" applyFont="1" applyBorder="1" applyAlignment="1" applyProtection="1">
      <alignment horizontal="center" vertical="center" wrapText="1"/>
      <protection hidden="1"/>
    </xf>
    <xf numFmtId="0" fontId="148" fillId="0" borderId="72" xfId="1213" applyFont="1" applyBorder="1" applyAlignment="1" applyProtection="1">
      <alignment horizontal="center" vertical="center" wrapText="1"/>
      <protection hidden="1"/>
    </xf>
    <xf numFmtId="0" fontId="148" fillId="0" borderId="2" xfId="1213" applyFont="1" applyBorder="1" applyAlignment="1" applyProtection="1">
      <alignment horizontal="center" vertical="center" wrapText="1"/>
      <protection hidden="1"/>
    </xf>
    <xf numFmtId="0" fontId="148" fillId="0" borderId="70" xfId="1213" applyFont="1" applyBorder="1" applyAlignment="1" applyProtection="1">
      <alignment horizontal="center" vertical="center" wrapText="1"/>
      <protection hidden="1"/>
    </xf>
    <xf numFmtId="0" fontId="135" fillId="0" borderId="158" xfId="1155" applyFont="1" applyBorder="1" applyAlignment="1" applyProtection="1">
      <alignment horizontal="center" vertical="center" wrapText="1"/>
      <protection hidden="1"/>
    </xf>
    <xf numFmtId="0" fontId="135" fillId="0" borderId="159" xfId="1155" applyFont="1" applyBorder="1" applyAlignment="1" applyProtection="1">
      <alignment horizontal="center" vertical="center" wrapText="1"/>
      <protection hidden="1"/>
    </xf>
    <xf numFmtId="0" fontId="135" fillId="0" borderId="160" xfId="1155" applyFont="1" applyBorder="1" applyAlignment="1" applyProtection="1">
      <alignment horizontal="center" vertical="center" wrapText="1"/>
      <protection hidden="1"/>
    </xf>
    <xf numFmtId="3" fontId="153" fillId="0" borderId="17" xfId="1213" applyNumberFormat="1" applyFont="1" applyBorder="1" applyAlignment="1" applyProtection="1">
      <alignment horizontal="center" vertical="center" shrinkToFit="1"/>
      <protection hidden="1"/>
    </xf>
    <xf numFmtId="0" fontId="153" fillId="0" borderId="161" xfId="1213" applyFont="1" applyBorder="1" applyAlignment="1" applyProtection="1">
      <alignment horizontal="center" vertical="center" wrapText="1"/>
      <protection hidden="1"/>
    </xf>
    <xf numFmtId="0" fontId="153" fillId="0" borderId="149" xfId="1213" applyFont="1" applyBorder="1" applyAlignment="1" applyProtection="1">
      <alignment horizontal="center" vertical="center" wrapText="1"/>
      <protection hidden="1"/>
    </xf>
    <xf numFmtId="0" fontId="153" fillId="0" borderId="159" xfId="1213" applyFont="1" applyBorder="1" applyAlignment="1" applyProtection="1">
      <alignment horizontal="center" vertical="center" wrapText="1"/>
      <protection hidden="1"/>
    </xf>
    <xf numFmtId="0" fontId="153" fillId="0" borderId="150" xfId="1213" applyFont="1" applyBorder="1" applyAlignment="1" applyProtection="1">
      <alignment horizontal="center" vertical="center" wrapText="1"/>
      <protection hidden="1"/>
    </xf>
    <xf numFmtId="0" fontId="153" fillId="0" borderId="160" xfId="1213" applyFont="1" applyBorder="1" applyAlignment="1" applyProtection="1">
      <alignment horizontal="center" vertical="center" wrapText="1"/>
      <protection hidden="1"/>
    </xf>
    <xf numFmtId="49" fontId="152" fillId="0" borderId="114" xfId="1213" applyNumberFormat="1" applyFont="1" applyBorder="1" applyAlignment="1" applyProtection="1">
      <alignment horizontal="center" vertical="center" wrapText="1"/>
      <protection hidden="1"/>
    </xf>
    <xf numFmtId="49" fontId="152" fillId="0" borderId="48" xfId="1213" applyNumberFormat="1" applyFont="1" applyBorder="1" applyAlignment="1" applyProtection="1">
      <alignment horizontal="center" vertical="center" wrapText="1"/>
      <protection hidden="1"/>
    </xf>
    <xf numFmtId="3" fontId="145" fillId="0" borderId="1" xfId="1213" applyNumberFormat="1" applyFont="1" applyBorder="1" applyAlignment="1" applyProtection="1">
      <alignment horizontal="center" vertical="center" shrinkToFit="1"/>
      <protection hidden="1"/>
    </xf>
    <xf numFmtId="0" fontId="145" fillId="0" borderId="65" xfId="1213" applyFont="1" applyBorder="1" applyAlignment="1" applyProtection="1">
      <alignment horizontal="center" vertical="center" wrapText="1"/>
      <protection hidden="1"/>
    </xf>
    <xf numFmtId="0" fontId="145" fillId="0" borderId="50" xfId="1213" applyFont="1" applyBorder="1" applyAlignment="1" applyProtection="1">
      <alignment horizontal="center" vertical="center" wrapText="1"/>
      <protection hidden="1"/>
    </xf>
    <xf numFmtId="0" fontId="145" fillId="0" borderId="101" xfId="1213" applyFont="1" applyBorder="1" applyAlignment="1" applyProtection="1">
      <alignment horizontal="center" vertical="center" wrapText="1"/>
      <protection hidden="1"/>
    </xf>
    <xf numFmtId="0" fontId="145" fillId="0" borderId="66" xfId="1213" applyFont="1" applyBorder="1" applyAlignment="1" applyProtection="1">
      <alignment horizontal="center" vertical="center" wrapText="1"/>
      <protection hidden="1"/>
    </xf>
    <xf numFmtId="0" fontId="145" fillId="0" borderId="0" xfId="1213" applyFont="1" applyAlignment="1" applyProtection="1">
      <alignment horizontal="center" vertical="center" wrapText="1"/>
      <protection hidden="1"/>
    </xf>
    <xf numFmtId="0" fontId="145" fillId="0" borderId="83" xfId="1213" applyFont="1" applyBorder="1" applyAlignment="1" applyProtection="1">
      <alignment horizontal="center" vertical="center" wrapText="1"/>
      <protection hidden="1"/>
    </xf>
    <xf numFmtId="0" fontId="145" fillId="0" borderId="162" xfId="1213" applyFont="1" applyBorder="1" applyAlignment="1" applyProtection="1">
      <alignment horizontal="center" vertical="center" wrapText="1"/>
      <protection hidden="1"/>
    </xf>
    <xf numFmtId="0" fontId="145" fillId="0" borderId="4" xfId="1213" applyFont="1" applyBorder="1" applyAlignment="1" applyProtection="1">
      <alignment horizontal="center" vertical="center" wrapText="1"/>
      <protection hidden="1"/>
    </xf>
    <xf numFmtId="0" fontId="145" fillId="0" borderId="111" xfId="1213" applyFont="1" applyBorder="1" applyAlignment="1" applyProtection="1">
      <alignment horizontal="center" vertical="center" wrapText="1"/>
      <protection hidden="1"/>
    </xf>
    <xf numFmtId="0" fontId="141" fillId="0" borderId="9" xfId="1213" applyFont="1" applyBorder="1" applyAlignment="1" applyProtection="1">
      <alignment horizontal="center" vertical="center" wrapText="1"/>
      <protection hidden="1"/>
    </xf>
    <xf numFmtId="0" fontId="141" fillId="0" borderId="11" xfId="1213" applyFont="1" applyBorder="1" applyAlignment="1" applyProtection="1">
      <alignment horizontal="center" vertical="center" wrapText="1"/>
      <protection hidden="1"/>
    </xf>
    <xf numFmtId="3" fontId="139" fillId="3" borderId="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1" xfId="0" applyNumberFormat="1" applyFont="1" applyFill="1" applyBorder="1" applyAlignment="1" applyProtection="1">
      <alignment horizontal="center" vertical="center" shrinkToFit="1"/>
      <protection locked="0"/>
    </xf>
    <xf numFmtId="0" fontId="53" fillId="0" borderId="4" xfId="1213" applyFont="1" applyBorder="1" applyAlignment="1" applyProtection="1">
      <alignment horizontal="left" vertical="center"/>
      <protection locked="0" hidden="1"/>
    </xf>
    <xf numFmtId="0" fontId="53" fillId="0" borderId="4" xfId="1213" applyFont="1" applyBorder="1" applyAlignment="1" applyProtection="1">
      <alignment horizontal="center" vertical="center"/>
      <protection hidden="1"/>
    </xf>
    <xf numFmtId="0" fontId="13" fillId="0" borderId="126" xfId="0" applyFont="1" applyBorder="1" applyAlignment="1" applyProtection="1">
      <alignment horizontal="center" vertical="center"/>
      <protection hidden="1"/>
    </xf>
    <xf numFmtId="0" fontId="13" fillId="0" borderId="50" xfId="0" applyFont="1" applyBorder="1" applyAlignment="1" applyProtection="1">
      <alignment horizontal="center" vertical="center"/>
      <protection hidden="1"/>
    </xf>
    <xf numFmtId="0" fontId="13" fillId="0" borderId="57" xfId="0" applyFont="1" applyBorder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3" fontId="139" fillId="3" borderId="49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22" xfId="0" applyNumberFormat="1" applyFont="1" applyFill="1" applyBorder="1" applyAlignment="1" applyProtection="1">
      <alignment horizontal="center" vertical="center" shrinkToFit="1"/>
      <protection locked="0"/>
    </xf>
    <xf numFmtId="49" fontId="146" fillId="0" borderId="140" xfId="0" applyNumberFormat="1" applyFont="1" applyBorder="1" applyAlignment="1" applyProtection="1">
      <alignment horizontal="center" vertical="center" wrapText="1"/>
      <protection hidden="1"/>
    </xf>
    <xf numFmtId="49" fontId="146" fillId="0" borderId="8" xfId="0" applyNumberFormat="1" applyFont="1" applyBorder="1" applyAlignment="1" applyProtection="1">
      <alignment horizontal="center" vertical="center" wrapText="1"/>
      <protection hidden="1"/>
    </xf>
    <xf numFmtId="49" fontId="146" fillId="0" borderId="28" xfId="0" applyNumberFormat="1" applyFont="1" applyBorder="1" applyAlignment="1" applyProtection="1">
      <alignment horizontal="center" vertical="center" wrapText="1"/>
      <protection hidden="1"/>
    </xf>
    <xf numFmtId="49" fontId="146" fillId="0" borderId="15" xfId="0" applyNumberFormat="1" applyFont="1" applyBorder="1" applyAlignment="1" applyProtection="1">
      <alignment horizontal="center" vertical="center" wrapText="1"/>
      <protection hidden="1"/>
    </xf>
    <xf numFmtId="49" fontId="146" fillId="0" borderId="124" xfId="0" applyNumberFormat="1" applyFont="1" applyBorder="1" applyAlignment="1" applyProtection="1">
      <alignment horizontal="center" vertical="center" wrapText="1"/>
      <protection hidden="1"/>
    </xf>
    <xf numFmtId="49" fontId="146" fillId="0" borderId="11" xfId="0" applyNumberFormat="1" applyFont="1" applyBorder="1" applyAlignment="1" applyProtection="1">
      <alignment horizontal="center" vertical="center" wrapText="1"/>
      <protection hidden="1"/>
    </xf>
    <xf numFmtId="3" fontId="139" fillId="0" borderId="165" xfId="0" applyNumberFormat="1" applyFont="1" applyBorder="1" applyAlignment="1" applyProtection="1">
      <alignment horizontal="center" vertical="center" shrinkToFit="1"/>
      <protection hidden="1"/>
    </xf>
    <xf numFmtId="3" fontId="139" fillId="0" borderId="80" xfId="0" applyNumberFormat="1" applyFont="1" applyBorder="1" applyAlignment="1" applyProtection="1">
      <alignment horizontal="center" vertical="center" shrinkToFit="1"/>
      <protection hidden="1"/>
    </xf>
    <xf numFmtId="0" fontId="140" fillId="0" borderId="28" xfId="0" applyFont="1" applyBorder="1" applyAlignment="1" applyProtection="1">
      <alignment horizontal="center" vertical="center" shrinkToFit="1"/>
      <protection hidden="1"/>
    </xf>
    <xf numFmtId="0" fontId="140" fillId="0" borderId="15" xfId="0" applyFont="1" applyBorder="1" applyAlignment="1" applyProtection="1">
      <alignment horizontal="center" vertical="center" shrinkToFit="1"/>
      <protection hidden="1"/>
    </xf>
    <xf numFmtId="0" fontId="141" fillId="0" borderId="166" xfId="0" applyFont="1" applyBorder="1" applyAlignment="1" applyProtection="1">
      <alignment horizontal="center" vertical="center"/>
      <protection hidden="1"/>
    </xf>
    <xf numFmtId="0" fontId="141" fillId="0" borderId="39" xfId="0" applyFont="1" applyBorder="1" applyAlignment="1" applyProtection="1">
      <alignment horizontal="center" vertical="center"/>
      <protection hidden="1"/>
    </xf>
    <xf numFmtId="3" fontId="139" fillId="3" borderId="167" xfId="0" applyNumberFormat="1" applyFont="1" applyFill="1" applyBorder="1" applyAlignment="1" applyProtection="1">
      <alignment horizontal="center" vertical="center" shrinkToFit="1"/>
      <protection locked="0"/>
    </xf>
    <xf numFmtId="3" fontId="139" fillId="3" borderId="13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5" xfId="0" applyNumberFormat="1" applyFont="1" applyBorder="1" applyAlignment="1" applyProtection="1">
      <alignment horizontal="center" vertical="center" shrinkToFit="1"/>
      <protection hidden="1"/>
    </xf>
    <xf numFmtId="3" fontId="139" fillId="0" borderId="109" xfId="0" applyNumberFormat="1" applyFont="1" applyBorder="1" applyAlignment="1" applyProtection="1">
      <alignment horizontal="center" vertical="center" shrinkToFit="1"/>
      <protection hidden="1"/>
    </xf>
    <xf numFmtId="3" fontId="139" fillId="0" borderId="97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0" applyNumberFormat="1" applyFont="1" applyBorder="1" applyAlignment="1" applyProtection="1">
      <alignment horizontal="center" vertical="center" shrinkToFit="1"/>
      <protection hidden="1"/>
    </xf>
    <xf numFmtId="3" fontId="139" fillId="0" borderId="110" xfId="0" applyNumberFormat="1" applyFont="1" applyBorder="1" applyAlignment="1" applyProtection="1">
      <alignment horizontal="center" vertical="center" shrinkToFit="1"/>
      <protection hidden="1"/>
    </xf>
    <xf numFmtId="0" fontId="137" fillId="0" borderId="11" xfId="1213" applyFont="1" applyBorder="1" applyAlignment="1" applyProtection="1">
      <alignment horizontal="center" vertical="center"/>
      <protection hidden="1"/>
    </xf>
    <xf numFmtId="0" fontId="137" fillId="0" borderId="116" xfId="1213" applyFont="1" applyBorder="1" applyAlignment="1" applyProtection="1">
      <alignment horizontal="center" vertical="center"/>
      <protection hidden="1"/>
    </xf>
    <xf numFmtId="3" fontId="139" fillId="0" borderId="6" xfId="1213" applyNumberFormat="1" applyFont="1" applyBorder="1" applyAlignment="1" applyProtection="1">
      <alignment horizontal="center" vertical="center" shrinkToFit="1"/>
      <protection hidden="1"/>
    </xf>
    <xf numFmtId="3" fontId="139" fillId="0" borderId="138" xfId="1213" applyNumberFormat="1" applyFont="1" applyBorder="1" applyAlignment="1" applyProtection="1">
      <alignment horizontal="center" vertical="center" shrinkToFit="1"/>
      <protection hidden="1"/>
    </xf>
    <xf numFmtId="3" fontId="138" fillId="0" borderId="8" xfId="1213" applyNumberFormat="1" applyFont="1" applyBorder="1" applyAlignment="1" applyProtection="1">
      <alignment horizontal="center" vertical="center" shrinkToFit="1"/>
      <protection hidden="1"/>
    </xf>
    <xf numFmtId="3" fontId="138" fillId="0" borderId="106" xfId="1213" applyNumberFormat="1" applyFont="1" applyBorder="1" applyAlignment="1" applyProtection="1">
      <alignment horizontal="center" vertical="center" shrinkToFit="1"/>
      <protection hidden="1"/>
    </xf>
    <xf numFmtId="0" fontId="160" fillId="0" borderId="126" xfId="0" applyFont="1" applyBorder="1" applyAlignment="1" applyProtection="1">
      <alignment horizontal="center" vertical="center" wrapText="1"/>
      <protection hidden="1"/>
    </xf>
    <xf numFmtId="0" fontId="160" fillId="0" borderId="50" xfId="0" applyFont="1" applyBorder="1" applyAlignment="1" applyProtection="1">
      <alignment horizontal="center" vertical="center" wrapText="1"/>
      <protection hidden="1"/>
    </xf>
    <xf numFmtId="0" fontId="160" fillId="0" borderId="98" xfId="0" applyFont="1" applyBorder="1" applyAlignment="1" applyProtection="1">
      <alignment horizontal="center" vertical="center" wrapText="1"/>
      <protection hidden="1"/>
    </xf>
    <xf numFmtId="0" fontId="160" fillId="0" borderId="168" xfId="0" applyFont="1" applyBorder="1" applyAlignment="1" applyProtection="1">
      <alignment horizontal="center" vertical="center" wrapText="1"/>
      <protection hidden="1"/>
    </xf>
    <xf numFmtId="0" fontId="160" fillId="0" borderId="0" xfId="0" applyFont="1" applyAlignment="1" applyProtection="1">
      <alignment horizontal="center" vertical="center" wrapText="1"/>
      <protection hidden="1"/>
    </xf>
    <xf numFmtId="0" fontId="160" fillId="0" borderId="63" xfId="0" applyFont="1" applyBorder="1" applyAlignment="1" applyProtection="1">
      <alignment horizontal="center" vertical="center" wrapText="1"/>
      <protection hidden="1"/>
    </xf>
    <xf numFmtId="0" fontId="140" fillId="0" borderId="29" xfId="0" applyFont="1" applyBorder="1" applyAlignment="1" applyProtection="1">
      <alignment horizontal="center" vertical="center" shrinkToFit="1"/>
      <protection hidden="1"/>
    </xf>
    <xf numFmtId="0" fontId="140" fillId="0" borderId="12" xfId="0" applyFont="1" applyBorder="1" applyAlignment="1" applyProtection="1">
      <alignment horizontal="center" vertical="center" shrinkToFit="1"/>
      <protection hidden="1"/>
    </xf>
    <xf numFmtId="0" fontId="152" fillId="0" borderId="146" xfId="0" applyFont="1" applyBorder="1" applyAlignment="1" applyProtection="1">
      <alignment horizontal="center" vertical="center" wrapText="1"/>
      <protection hidden="1"/>
    </xf>
    <xf numFmtId="172" fontId="139" fillId="3" borderId="106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07" xfId="0" applyNumberFormat="1" applyFont="1" applyFill="1" applyBorder="1" applyAlignment="1" applyProtection="1">
      <alignment horizontal="center" vertical="center" shrinkToFit="1"/>
      <protection locked="0"/>
    </xf>
    <xf numFmtId="3" fontId="139" fillId="0" borderId="27" xfId="0" applyNumberFormat="1" applyFont="1" applyBorder="1" applyAlignment="1" applyProtection="1">
      <alignment horizontal="center" vertical="center" shrinkToFit="1"/>
      <protection hidden="1"/>
    </xf>
    <xf numFmtId="3" fontId="139" fillId="0" borderId="26" xfId="0" applyNumberFormat="1" applyFont="1" applyBorder="1" applyAlignment="1" applyProtection="1">
      <alignment horizontal="center" vertical="center" shrinkToFit="1"/>
      <protection hidden="1"/>
    </xf>
    <xf numFmtId="0" fontId="145" fillId="0" borderId="126" xfId="1155" applyFont="1" applyFill="1" applyBorder="1" applyAlignment="1" applyProtection="1">
      <alignment horizontal="center" vertical="center" wrapText="1"/>
      <protection hidden="1"/>
    </xf>
    <xf numFmtId="0" fontId="145" fillId="0" borderId="50" xfId="1155" applyFont="1" applyFill="1" applyBorder="1" applyAlignment="1" applyProtection="1">
      <alignment horizontal="center" vertical="center" wrapText="1"/>
      <protection hidden="1"/>
    </xf>
    <xf numFmtId="0" fontId="145" fillId="0" borderId="98" xfId="1155" applyFont="1" applyFill="1" applyBorder="1" applyAlignment="1" applyProtection="1">
      <alignment horizontal="center" vertical="center" wrapText="1"/>
      <protection hidden="1"/>
    </xf>
    <xf numFmtId="0" fontId="145" fillId="0" borderId="168" xfId="1155" applyFont="1" applyFill="1" applyBorder="1" applyAlignment="1" applyProtection="1">
      <alignment horizontal="center" vertical="center" wrapText="1"/>
      <protection hidden="1"/>
    </xf>
    <xf numFmtId="0" fontId="145" fillId="0" borderId="0" xfId="1155" applyFont="1" applyFill="1" applyBorder="1" applyAlignment="1" applyProtection="1">
      <alignment horizontal="center" vertical="center" wrapText="1"/>
      <protection hidden="1"/>
    </xf>
    <xf numFmtId="0" fontId="145" fillId="0" borderId="63" xfId="1155" applyFont="1" applyFill="1" applyBorder="1" applyAlignment="1" applyProtection="1">
      <alignment horizontal="center" vertical="center" wrapText="1"/>
      <protection hidden="1"/>
    </xf>
    <xf numFmtId="0" fontId="145" fillId="0" borderId="57" xfId="1155" applyFont="1" applyFill="1" applyBorder="1" applyAlignment="1" applyProtection="1">
      <alignment horizontal="center" vertical="center" wrapText="1"/>
      <protection hidden="1"/>
    </xf>
    <xf numFmtId="0" fontId="145" fillId="0" borderId="2" xfId="1155" applyFont="1" applyFill="1" applyBorder="1" applyAlignment="1" applyProtection="1">
      <alignment horizontal="center" vertical="center" wrapText="1"/>
      <protection hidden="1"/>
    </xf>
    <xf numFmtId="0" fontId="145" fillId="0" borderId="64" xfId="1155" applyFont="1" applyFill="1" applyBorder="1" applyAlignment="1" applyProtection="1">
      <alignment horizontal="center" vertical="center" wrapText="1"/>
      <protection hidden="1"/>
    </xf>
    <xf numFmtId="0" fontId="141" fillId="0" borderId="8" xfId="0" applyFont="1" applyBorder="1" applyAlignment="1" applyProtection="1">
      <alignment horizontal="center" vertical="center" wrapText="1"/>
      <protection hidden="1"/>
    </xf>
    <xf numFmtId="0" fontId="141" fillId="0" borderId="15" xfId="0" applyFont="1" applyBorder="1" applyAlignment="1" applyProtection="1">
      <alignment horizontal="center" vertical="center" wrapText="1"/>
      <protection hidden="1"/>
    </xf>
    <xf numFmtId="0" fontId="136" fillId="0" borderId="11" xfId="0" applyFont="1" applyBorder="1" applyAlignment="1" applyProtection="1">
      <alignment horizontal="center" vertical="center" wrapText="1"/>
      <protection hidden="1"/>
    </xf>
    <xf numFmtId="0" fontId="141" fillId="0" borderId="6" xfId="0" applyFont="1" applyBorder="1" applyAlignment="1" applyProtection="1">
      <alignment horizontal="center" vertical="center" wrapText="1"/>
      <protection hidden="1"/>
    </xf>
    <xf numFmtId="0" fontId="141" fillId="0" borderId="138" xfId="0" applyFont="1" applyBorder="1" applyAlignment="1" applyProtection="1">
      <alignment horizontal="center" vertical="center" wrapText="1"/>
      <protection hidden="1"/>
    </xf>
    <xf numFmtId="0" fontId="141" fillId="0" borderId="21" xfId="0" applyFont="1" applyBorder="1" applyAlignment="1" applyProtection="1">
      <alignment horizontal="center" vertical="center" wrapText="1"/>
      <protection hidden="1"/>
    </xf>
    <xf numFmtId="0" fontId="141" fillId="0" borderId="102" xfId="0" applyFont="1" applyBorder="1" applyAlignment="1" applyProtection="1">
      <alignment horizontal="center" vertical="center" wrapText="1"/>
      <protection hidden="1"/>
    </xf>
    <xf numFmtId="0" fontId="141" fillId="0" borderId="9" xfId="0" applyFont="1" applyBorder="1" applyAlignment="1" applyProtection="1">
      <alignment horizontal="center" vertical="center" wrapText="1"/>
      <protection hidden="1"/>
    </xf>
    <xf numFmtId="0" fontId="141" fillId="0" borderId="139" xfId="0" applyFont="1" applyBorder="1" applyAlignment="1" applyProtection="1">
      <alignment horizontal="center" vertical="center" wrapText="1"/>
      <protection hidden="1"/>
    </xf>
    <xf numFmtId="0" fontId="141" fillId="0" borderId="115" xfId="0" applyFont="1" applyBorder="1" applyAlignment="1" applyProtection="1">
      <alignment horizontal="center" vertical="center" wrapText="1"/>
      <protection hidden="1"/>
    </xf>
    <xf numFmtId="0" fontId="141" fillId="0" borderId="34" xfId="0" applyFont="1" applyBorder="1" applyAlignment="1" applyProtection="1">
      <alignment horizontal="center" vertical="center" wrapText="1"/>
      <protection hidden="1"/>
    </xf>
    <xf numFmtId="49" fontId="136" fillId="0" borderId="54" xfId="0" applyNumberFormat="1" applyFont="1" applyBorder="1" applyAlignment="1" applyProtection="1">
      <alignment horizontal="center" vertical="center" wrapText="1"/>
      <protection hidden="1"/>
    </xf>
    <xf numFmtId="49" fontId="136" fillId="0" borderId="146" xfId="0" applyNumberFormat="1" applyFont="1" applyBorder="1" applyAlignment="1" applyProtection="1">
      <alignment horizontal="center" vertical="center" wrapText="1"/>
      <protection hidden="1"/>
    </xf>
    <xf numFmtId="49" fontId="136" fillId="0" borderId="168" xfId="0" applyNumberFormat="1" applyFont="1" applyBorder="1" applyAlignment="1" applyProtection="1">
      <alignment horizontal="center" vertical="center" wrapText="1"/>
      <protection hidden="1"/>
    </xf>
    <xf numFmtId="49" fontId="136" fillId="0" borderId="88" xfId="0" applyNumberFormat="1" applyFont="1" applyBorder="1" applyAlignment="1" applyProtection="1">
      <alignment horizontal="center" vertical="center" wrapText="1"/>
      <protection hidden="1"/>
    </xf>
    <xf numFmtId="49" fontId="136" fillId="0" borderId="57" xfId="0" applyNumberFormat="1" applyFont="1" applyBorder="1" applyAlignment="1" applyProtection="1">
      <alignment horizontal="center" vertical="center" wrapText="1"/>
      <protection hidden="1"/>
    </xf>
    <xf numFmtId="49" fontId="136" fillId="0" borderId="70" xfId="0" applyNumberFormat="1" applyFont="1" applyBorder="1" applyAlignment="1" applyProtection="1">
      <alignment horizontal="center" vertical="center" wrapText="1"/>
      <protection hidden="1"/>
    </xf>
    <xf numFmtId="0" fontId="140" fillId="0" borderId="151" xfId="0" applyFont="1" applyBorder="1" applyAlignment="1" applyProtection="1">
      <alignment horizontal="center" vertical="center" shrinkToFit="1"/>
      <protection hidden="1"/>
    </xf>
    <xf numFmtId="0" fontId="140" fillId="0" borderId="107" xfId="0" applyFont="1" applyBorder="1" applyAlignment="1" applyProtection="1">
      <alignment horizontal="center" vertical="center" shrinkToFit="1"/>
      <protection hidden="1"/>
    </xf>
    <xf numFmtId="14" fontId="44" fillId="2" borderId="68" xfId="1213" applyNumberFormat="1" applyFont="1" applyFill="1" applyBorder="1" applyAlignment="1" applyProtection="1">
      <alignment horizontal="center" vertical="center" shrinkToFit="1"/>
      <protection hidden="1"/>
    </xf>
    <xf numFmtId="3" fontId="168" fillId="0" borderId="32" xfId="1213" applyNumberFormat="1" applyFont="1" applyBorder="1" applyAlignment="1" applyProtection="1">
      <alignment horizontal="center" vertical="center"/>
      <protection hidden="1"/>
    </xf>
    <xf numFmtId="3" fontId="168" fillId="0" borderId="53" xfId="1213" applyNumberFormat="1" applyFont="1" applyBorder="1" applyAlignment="1" applyProtection="1">
      <alignment horizontal="center" vertical="center"/>
      <protection hidden="1"/>
    </xf>
    <xf numFmtId="4" fontId="59" fillId="0" borderId="143" xfId="0" applyNumberFormat="1" applyFont="1" applyBorder="1" applyAlignment="1" applyProtection="1">
      <alignment horizontal="left" vertical="center" wrapText="1"/>
      <protection hidden="1"/>
    </xf>
    <xf numFmtId="4" fontId="59" fillId="0" borderId="68" xfId="0" applyNumberFormat="1" applyFont="1" applyBorder="1" applyAlignment="1" applyProtection="1">
      <alignment horizontal="left" vertical="center" wrapText="1"/>
      <protection hidden="1"/>
    </xf>
    <xf numFmtId="4" fontId="59" fillId="0" borderId="69" xfId="0" applyNumberFormat="1" applyFont="1" applyBorder="1" applyAlignment="1" applyProtection="1">
      <alignment horizontal="left" vertical="center" wrapText="1"/>
      <protection hidden="1"/>
    </xf>
    <xf numFmtId="0" fontId="61" fillId="0" borderId="144" xfId="0" applyFont="1" applyBorder="1" applyAlignment="1" applyProtection="1">
      <alignment horizontal="center" vertical="center" wrapText="1"/>
      <protection hidden="1"/>
    </xf>
    <xf numFmtId="4" fontId="61" fillId="0" borderId="22" xfId="0" applyNumberFormat="1" applyFont="1" applyBorder="1" applyAlignment="1" applyProtection="1">
      <alignment horizontal="center" vertical="center" wrapText="1"/>
      <protection hidden="1"/>
    </xf>
    <xf numFmtId="4" fontId="61" fillId="0" borderId="53" xfId="0" applyNumberFormat="1" applyFont="1" applyBorder="1" applyAlignment="1" applyProtection="1">
      <alignment horizontal="center" vertical="center" wrapText="1"/>
      <protection hidden="1"/>
    </xf>
    <xf numFmtId="0" fontId="61" fillId="0" borderId="22" xfId="0" applyFont="1" applyBorder="1" applyAlignment="1" applyProtection="1">
      <alignment horizontal="center" vertical="center" wrapText="1"/>
      <protection hidden="1"/>
    </xf>
    <xf numFmtId="0" fontId="61" fillId="0" borderId="53" xfId="0" applyFont="1" applyBorder="1" applyAlignment="1" applyProtection="1">
      <alignment horizontal="center" vertical="center" wrapText="1"/>
      <protection hidden="1"/>
    </xf>
    <xf numFmtId="3" fontId="135" fillId="0" borderId="32" xfId="1213" applyNumberFormat="1" applyFont="1" applyBorder="1" applyAlignment="1" applyProtection="1">
      <alignment horizontal="center" vertical="center"/>
      <protection hidden="1"/>
    </xf>
    <xf numFmtId="3" fontId="135" fillId="0" borderId="53" xfId="1213" applyNumberFormat="1" applyFont="1" applyBorder="1" applyAlignment="1" applyProtection="1">
      <alignment horizontal="center" vertical="center"/>
      <protection hidden="1"/>
    </xf>
    <xf numFmtId="3" fontId="138" fillId="0" borderId="32" xfId="0" applyNumberFormat="1" applyFont="1" applyBorder="1" applyAlignment="1" applyProtection="1">
      <alignment horizontal="center" vertical="center" shrinkToFit="1"/>
      <protection hidden="1"/>
    </xf>
    <xf numFmtId="3" fontId="138" fillId="0" borderId="53" xfId="0" applyNumberFormat="1" applyFont="1" applyBorder="1" applyAlignment="1" applyProtection="1">
      <alignment horizontal="center" vertical="center" shrinkToFit="1"/>
      <protection hidden="1"/>
    </xf>
    <xf numFmtId="3" fontId="139" fillId="0" borderId="18" xfId="1213" applyNumberFormat="1" applyFont="1" applyBorder="1" applyAlignment="1" applyProtection="1">
      <alignment horizontal="center" vertical="center" shrinkToFit="1"/>
      <protection hidden="1"/>
    </xf>
    <xf numFmtId="3" fontId="139" fillId="0" borderId="60" xfId="1213" applyNumberFormat="1" applyFont="1" applyBorder="1" applyAlignment="1" applyProtection="1">
      <alignment horizontal="center" vertical="center" shrinkToFit="1"/>
      <protection hidden="1"/>
    </xf>
    <xf numFmtId="0" fontId="53" fillId="0" borderId="0" xfId="1213" applyFont="1" applyAlignment="1" applyProtection="1">
      <alignment horizontal="left" vertical="center"/>
      <protection locked="0" hidden="1"/>
    </xf>
    <xf numFmtId="0" fontId="53" fillId="0" borderId="4" xfId="1213" applyFont="1" applyBorder="1" applyAlignment="1" applyProtection="1">
      <alignment horizontal="right" vertical="center"/>
      <protection locked="0" hidden="1"/>
    </xf>
    <xf numFmtId="0" fontId="42" fillId="0" borderId="4" xfId="1213" applyFont="1" applyBorder="1" applyAlignment="1" applyProtection="1">
      <alignment horizontal="left" vertical="center"/>
      <protection locked="0" hidden="1"/>
    </xf>
    <xf numFmtId="0" fontId="42" fillId="0" borderId="4" xfId="1213" applyFont="1" applyBorder="1" applyAlignment="1" applyProtection="1">
      <alignment horizontal="center" vertical="center"/>
      <protection hidden="1"/>
    </xf>
    <xf numFmtId="2" fontId="135" fillId="0" borderId="8" xfId="0" applyNumberFormat="1" applyFont="1" applyBorder="1" applyAlignment="1" applyProtection="1">
      <alignment horizontal="center" vertical="center"/>
      <protection hidden="1"/>
    </xf>
    <xf numFmtId="2" fontId="135" fillId="0" borderId="11" xfId="0" applyNumberFormat="1" applyFont="1" applyBorder="1" applyAlignment="1" applyProtection="1">
      <alignment horizontal="center" vertical="center"/>
      <protection hidden="1"/>
    </xf>
    <xf numFmtId="0" fontId="140" fillId="0" borderId="142" xfId="0" applyFont="1" applyBorder="1" applyAlignment="1" applyProtection="1">
      <alignment horizontal="center" vertical="center" shrinkToFit="1"/>
      <protection hidden="1"/>
    </xf>
    <xf numFmtId="0" fontId="140" fillId="0" borderId="16" xfId="0" applyFont="1" applyBorder="1" applyAlignment="1" applyProtection="1">
      <alignment horizontal="center" vertical="center" shrinkToFit="1"/>
      <protection hidden="1"/>
    </xf>
    <xf numFmtId="0" fontId="58" fillId="0" borderId="140" xfId="0" applyFont="1" applyBorder="1" applyAlignment="1" applyProtection="1">
      <alignment horizontal="left" vertical="center" wrapText="1"/>
      <protection hidden="1"/>
    </xf>
    <xf numFmtId="0" fontId="58" fillId="0" borderId="8" xfId="0" applyFont="1" applyBorder="1" applyAlignment="1" applyProtection="1">
      <alignment horizontal="left" vertical="center" wrapText="1"/>
      <protection hidden="1"/>
    </xf>
    <xf numFmtId="0" fontId="58" fillId="0" borderId="124" xfId="0" applyFont="1" applyBorder="1" applyAlignment="1" applyProtection="1">
      <alignment horizontal="left" vertical="center" wrapText="1"/>
      <protection hidden="1"/>
    </xf>
    <xf numFmtId="0" fontId="58" fillId="0" borderId="11" xfId="0" applyFont="1" applyBorder="1" applyAlignment="1" applyProtection="1">
      <alignment horizontal="left" vertical="center" wrapText="1"/>
      <protection hidden="1"/>
    </xf>
    <xf numFmtId="3" fontId="135" fillId="0" borderId="8" xfId="0" applyNumberFormat="1" applyFont="1" applyBorder="1" applyAlignment="1" applyProtection="1">
      <alignment horizontal="center" vertical="center"/>
      <protection hidden="1"/>
    </xf>
    <xf numFmtId="3" fontId="135" fillId="0" borderId="11" xfId="0" applyNumberFormat="1" applyFont="1" applyBorder="1" applyAlignment="1" applyProtection="1">
      <alignment horizontal="center" vertical="center"/>
      <protection hidden="1"/>
    </xf>
    <xf numFmtId="0" fontId="57" fillId="0" borderId="132" xfId="0" applyFont="1" applyBorder="1" applyAlignment="1" applyProtection="1">
      <alignment horizontal="center" vertical="center" wrapText="1"/>
      <protection hidden="1"/>
    </xf>
    <xf numFmtId="0" fontId="57" fillId="0" borderId="79" xfId="0" applyFont="1" applyBorder="1" applyAlignment="1" applyProtection="1">
      <alignment horizontal="center" vertical="center" wrapText="1"/>
      <protection hidden="1"/>
    </xf>
    <xf numFmtId="3" fontId="135" fillId="0" borderId="71" xfId="0" applyNumberFormat="1" applyFont="1" applyBorder="1" applyAlignment="1" applyProtection="1">
      <alignment horizontal="right" vertical="center" shrinkToFit="1"/>
      <protection hidden="1"/>
    </xf>
    <xf numFmtId="3" fontId="135" fillId="0" borderId="141" xfId="0" applyNumberFormat="1" applyFont="1" applyBorder="1" applyAlignment="1" applyProtection="1">
      <alignment horizontal="right" vertical="center" shrinkToFit="1"/>
      <protection hidden="1"/>
    </xf>
    <xf numFmtId="3" fontId="135" fillId="0" borderId="100" xfId="0" applyNumberFormat="1" applyFont="1" applyBorder="1" applyAlignment="1" applyProtection="1">
      <alignment horizontal="right" vertical="center" shrinkToFit="1"/>
      <protection hidden="1"/>
    </xf>
    <xf numFmtId="3" fontId="135" fillId="0" borderId="134" xfId="0" applyNumberFormat="1" applyFont="1" applyBorder="1" applyAlignment="1" applyProtection="1">
      <alignment horizontal="right" vertical="center" shrinkToFit="1"/>
      <protection hidden="1"/>
    </xf>
    <xf numFmtId="0" fontId="59" fillId="0" borderId="142" xfId="0" applyFont="1" applyBorder="1" applyAlignment="1" applyProtection="1">
      <alignment vertical="center" wrapText="1"/>
      <protection hidden="1"/>
    </xf>
    <xf numFmtId="0" fontId="59" fillId="0" borderId="16" xfId="0" applyFont="1" applyBorder="1" applyAlignment="1" applyProtection="1">
      <alignment vertical="center" wrapText="1"/>
      <protection hidden="1"/>
    </xf>
    <xf numFmtId="0" fontId="59" fillId="0" borderId="143" xfId="0" applyFont="1" applyBorder="1" applyAlignment="1" applyProtection="1">
      <alignment horizontal="left" vertical="center" wrapText="1"/>
      <protection hidden="1"/>
    </xf>
    <xf numFmtId="0" fontId="59" fillId="0" borderId="68" xfId="0" applyFont="1" applyBorder="1" applyAlignment="1" applyProtection="1">
      <alignment horizontal="left" vertical="center" wrapText="1"/>
      <protection hidden="1"/>
    </xf>
    <xf numFmtId="0" fontId="60" fillId="3" borderId="68" xfId="0" applyFont="1" applyFill="1" applyBorder="1" applyAlignment="1" applyProtection="1">
      <alignment horizontal="center" vertical="center" wrapText="1"/>
      <protection locked="0"/>
    </xf>
    <xf numFmtId="0" fontId="60" fillId="3" borderId="69" xfId="0" applyFont="1" applyFill="1" applyBorder="1" applyAlignment="1" applyProtection="1">
      <alignment horizontal="center" vertical="center" wrapText="1"/>
      <protection locked="0"/>
    </xf>
    <xf numFmtId="0" fontId="61" fillId="0" borderId="143" xfId="0" applyFont="1" applyBorder="1" applyAlignment="1" applyProtection="1">
      <alignment horizontal="left" vertical="center" wrapText="1"/>
      <protection hidden="1"/>
    </xf>
    <xf numFmtId="0" fontId="61" fillId="0" borderId="68" xfId="0" applyFont="1" applyBorder="1" applyAlignment="1" applyProtection="1">
      <alignment horizontal="left" vertical="center" wrapText="1"/>
      <protection hidden="1"/>
    </xf>
    <xf numFmtId="0" fontId="61" fillId="0" borderId="69" xfId="0" applyFont="1" applyBorder="1" applyAlignment="1" applyProtection="1">
      <alignment horizontal="left" vertical="center" wrapText="1"/>
      <protection hidden="1"/>
    </xf>
    <xf numFmtId="0" fontId="61" fillId="0" borderId="137" xfId="0" applyFont="1" applyBorder="1" applyAlignment="1" applyProtection="1">
      <alignment horizontal="left" vertical="center" wrapText="1"/>
      <protection hidden="1"/>
    </xf>
    <xf numFmtId="0" fontId="61" fillId="0" borderId="4" xfId="0" applyFont="1" applyBorder="1" applyAlignment="1" applyProtection="1">
      <alignment horizontal="left" vertical="center" wrapText="1"/>
      <protection hidden="1"/>
    </xf>
    <xf numFmtId="0" fontId="61" fillId="0" borderId="90" xfId="0" applyFont="1" applyBorder="1" applyAlignment="1" applyProtection="1">
      <alignment horizontal="left" vertical="center" wrapText="1"/>
      <protection hidden="1"/>
    </xf>
    <xf numFmtId="3" fontId="134" fillId="3" borderId="16" xfId="0" applyNumberFormat="1" applyFont="1" applyFill="1" applyBorder="1" applyAlignment="1" applyProtection="1">
      <alignment horizontal="center" vertical="center" shrinkToFit="1"/>
      <protection locked="0"/>
    </xf>
    <xf numFmtId="3" fontId="134" fillId="3" borderId="12" xfId="0" applyNumberFormat="1" applyFont="1" applyFill="1" applyBorder="1" applyAlignment="1" applyProtection="1">
      <alignment horizontal="center" vertical="center" shrinkToFit="1"/>
      <protection locked="0"/>
    </xf>
    <xf numFmtId="3" fontId="168" fillId="0" borderId="32" xfId="0" applyNumberFormat="1" applyFont="1" applyBorder="1" applyAlignment="1" applyProtection="1">
      <alignment horizontal="center" vertical="center" shrinkToFit="1"/>
      <protection hidden="1"/>
    </xf>
    <xf numFmtId="3" fontId="168" fillId="0" borderId="145" xfId="0" applyNumberFormat="1" applyFont="1" applyBorder="1" applyAlignment="1" applyProtection="1">
      <alignment horizontal="center" vertical="center" shrinkToFit="1"/>
      <protection hidden="1"/>
    </xf>
    <xf numFmtId="3" fontId="135" fillId="0" borderId="32" xfId="0" applyNumberFormat="1" applyFont="1" applyBorder="1" applyAlignment="1" applyProtection="1">
      <alignment horizontal="center" vertical="center" shrinkToFit="1"/>
      <protection hidden="1"/>
    </xf>
    <xf numFmtId="3" fontId="135" fillId="0" borderId="145" xfId="0" applyNumberFormat="1" applyFont="1" applyBorder="1" applyAlignment="1" applyProtection="1">
      <alignment horizontal="center" vertical="center" shrinkToFit="1"/>
      <protection hidden="1"/>
    </xf>
    <xf numFmtId="0" fontId="134" fillId="3" borderId="33" xfId="0" applyFont="1" applyFill="1" applyBorder="1" applyAlignment="1" applyProtection="1">
      <alignment horizontal="center" vertical="center" wrapText="1"/>
      <protection locked="0"/>
    </xf>
    <xf numFmtId="0" fontId="134" fillId="0" borderId="106" xfId="0" applyFont="1" applyBorder="1" applyAlignment="1">
      <alignment horizontal="center" vertical="center" wrapText="1"/>
    </xf>
    <xf numFmtId="0" fontId="134" fillId="0" borderId="7" xfId="0" applyFont="1" applyBorder="1" applyAlignment="1">
      <alignment horizontal="center" vertical="center" wrapText="1"/>
    </xf>
    <xf numFmtId="0" fontId="22" fillId="0" borderId="54" xfId="0" applyFont="1" applyBorder="1" applyAlignment="1" applyProtection="1">
      <alignment horizontal="left" vertical="center" wrapText="1"/>
      <protection hidden="1"/>
    </xf>
    <xf numFmtId="0" fontId="22" fillId="0" borderId="55" xfId="0" applyFont="1" applyBorder="1" applyAlignment="1" applyProtection="1">
      <alignment horizontal="left" vertical="center" wrapText="1"/>
      <protection hidden="1"/>
    </xf>
    <xf numFmtId="0" fontId="22" fillId="0" borderId="56" xfId="0" applyFont="1" applyBorder="1" applyAlignment="1" applyProtection="1">
      <alignment horizontal="left" vertical="center" wrapText="1"/>
      <protection hidden="1"/>
    </xf>
    <xf numFmtId="0" fontId="22" fillId="0" borderId="57" xfId="0" applyFont="1" applyBorder="1" applyAlignment="1" applyProtection="1">
      <alignment horizontal="left" vertical="center" wrapText="1"/>
      <protection hidden="1"/>
    </xf>
    <xf numFmtId="0" fontId="22" fillId="0" borderId="2" xfId="0" applyFont="1" applyBorder="1" applyAlignment="1" applyProtection="1">
      <alignment horizontal="left" vertical="center" wrapText="1"/>
      <protection hidden="1"/>
    </xf>
    <xf numFmtId="0" fontId="22" fillId="0" borderId="58" xfId="0" applyFont="1" applyBorder="1" applyAlignment="1" applyProtection="1">
      <alignment horizontal="left" vertical="center" wrapText="1"/>
      <protection hidden="1"/>
    </xf>
    <xf numFmtId="0" fontId="9" fillId="0" borderId="127" xfId="0" applyFont="1" applyBorder="1" applyAlignment="1" applyProtection="1">
      <alignment horizontal="center" vertical="center" wrapText="1"/>
      <protection hidden="1"/>
    </xf>
    <xf numFmtId="0" fontId="9" fillId="0" borderId="128" xfId="0" applyFont="1" applyBorder="1" applyAlignment="1" applyProtection="1">
      <alignment horizontal="center" vertical="center" wrapText="1"/>
      <protection hidden="1"/>
    </xf>
    <xf numFmtId="0" fontId="9" fillId="0" borderId="74" xfId="0" applyFont="1" applyBorder="1" applyAlignment="1" applyProtection="1">
      <alignment horizontal="center" vertical="center" wrapText="1"/>
      <protection hidden="1"/>
    </xf>
    <xf numFmtId="0" fontId="9" fillId="0" borderId="76" xfId="0" applyFont="1" applyBorder="1" applyAlignment="1" applyProtection="1">
      <alignment horizontal="center" vertical="center" wrapText="1"/>
      <protection hidden="1"/>
    </xf>
    <xf numFmtId="3" fontId="138" fillId="0" borderId="11" xfId="1213" applyNumberFormat="1" applyFont="1" applyBorder="1" applyAlignment="1" applyProtection="1">
      <alignment horizontal="center" vertical="center" shrinkToFit="1"/>
      <protection hidden="1"/>
    </xf>
    <xf numFmtId="3" fontId="138" fillId="0" borderId="116" xfId="1213" applyNumberFormat="1" applyFont="1" applyBorder="1" applyAlignment="1" applyProtection="1">
      <alignment horizontal="center" vertical="center" shrinkToFit="1"/>
      <protection hidden="1"/>
    </xf>
    <xf numFmtId="3" fontId="138" fillId="0" borderId="21" xfId="1213" applyNumberFormat="1" applyFont="1" applyBorder="1" applyAlignment="1" applyProtection="1">
      <alignment horizontal="center" vertical="center" shrinkToFit="1"/>
      <protection hidden="1"/>
    </xf>
    <xf numFmtId="3" fontId="138" fillId="0" borderId="102" xfId="1213" applyNumberFormat="1" applyFont="1" applyBorder="1" applyAlignment="1" applyProtection="1">
      <alignment horizontal="center" vertical="center" shrinkToFit="1"/>
      <protection hidden="1"/>
    </xf>
    <xf numFmtId="3" fontId="139" fillId="0" borderId="25" xfId="1213" applyNumberFormat="1" applyFont="1" applyBorder="1" applyAlignment="1" applyProtection="1">
      <alignment horizontal="center" vertical="center" shrinkToFit="1"/>
      <protection hidden="1"/>
    </xf>
    <xf numFmtId="3" fontId="139" fillId="0" borderId="110" xfId="1213" applyNumberFormat="1" applyFont="1" applyBorder="1" applyAlignment="1" applyProtection="1">
      <alignment horizontal="center" vertical="center" shrinkToFit="1"/>
      <protection hidden="1"/>
    </xf>
    <xf numFmtId="3" fontId="135" fillId="0" borderId="16" xfId="0" applyNumberFormat="1" applyFont="1" applyBorder="1" applyAlignment="1" applyProtection="1">
      <alignment horizontal="right" vertical="center" shrinkToFit="1"/>
      <protection hidden="1"/>
    </xf>
    <xf numFmtId="3" fontId="135" fillId="0" borderId="135" xfId="0" applyNumberFormat="1" applyFont="1" applyBorder="1" applyAlignment="1" applyProtection="1">
      <alignment horizontal="right" vertical="center" shrinkToFit="1"/>
      <protection hidden="1"/>
    </xf>
    <xf numFmtId="3" fontId="135" fillId="0" borderId="8" xfId="0" applyNumberFormat="1" applyFont="1" applyBorder="1" applyAlignment="1" applyProtection="1">
      <alignment horizontal="right" vertical="center" shrinkToFit="1"/>
      <protection hidden="1"/>
    </xf>
    <xf numFmtId="3" fontId="135" fillId="0" borderId="138" xfId="0" applyNumberFormat="1" applyFont="1" applyBorder="1" applyAlignment="1" applyProtection="1">
      <alignment horizontal="right" vertical="center" shrinkToFit="1"/>
      <protection hidden="1"/>
    </xf>
    <xf numFmtId="3" fontId="135" fillId="0" borderId="11" xfId="0" applyNumberFormat="1" applyFont="1" applyBorder="1" applyAlignment="1" applyProtection="1">
      <alignment horizontal="right" vertical="center" shrinkToFit="1"/>
      <protection hidden="1"/>
    </xf>
    <xf numFmtId="3" fontId="135" fillId="0" borderId="139" xfId="0" applyNumberFormat="1" applyFont="1" applyBorder="1" applyAlignment="1" applyProtection="1">
      <alignment horizontal="right" vertical="center" shrinkToFit="1"/>
      <protection hidden="1"/>
    </xf>
    <xf numFmtId="0" fontId="140" fillId="0" borderId="144" xfId="0" applyFont="1" applyBorder="1" applyAlignment="1" applyProtection="1">
      <alignment horizontal="center" vertical="center" shrinkToFit="1"/>
      <protection hidden="1"/>
    </xf>
    <xf numFmtId="0" fontId="140" fillId="0" borderId="53" xfId="0" applyFont="1" applyBorder="1" applyAlignment="1" applyProtection="1">
      <alignment horizontal="center" vertical="center" shrinkToFit="1"/>
      <protection hidden="1"/>
    </xf>
    <xf numFmtId="0" fontId="9" fillId="0" borderId="129" xfId="0" applyFont="1" applyBorder="1" applyAlignment="1" applyProtection="1">
      <alignment horizontal="center" vertical="center" wrapText="1"/>
      <protection hidden="1"/>
    </xf>
    <xf numFmtId="0" fontId="9" fillId="0" borderId="130" xfId="0" applyFont="1" applyBorder="1" applyAlignment="1" applyProtection="1">
      <alignment horizontal="center" vertical="center" wrapText="1"/>
      <protection hidden="1"/>
    </xf>
    <xf numFmtId="0" fontId="9" fillId="0" borderId="48" xfId="0" applyFont="1" applyBorder="1" applyAlignment="1" applyProtection="1">
      <alignment horizontal="center" vertical="center" wrapText="1"/>
      <protection hidden="1"/>
    </xf>
    <xf numFmtId="0" fontId="9" fillId="0" borderId="47" xfId="0" applyFont="1" applyBorder="1" applyAlignment="1" applyProtection="1">
      <alignment horizontal="center" vertical="center" wrapText="1"/>
      <protection hidden="1"/>
    </xf>
    <xf numFmtId="0" fontId="13" fillId="0" borderId="101" xfId="0" applyFont="1" applyBorder="1" applyAlignment="1" applyProtection="1">
      <alignment horizontal="center" vertical="center"/>
      <protection hidden="1"/>
    </xf>
    <xf numFmtId="0" fontId="13" fillId="0" borderId="58" xfId="0" applyFont="1" applyBorder="1" applyAlignment="1" applyProtection="1">
      <alignment horizontal="center" vertical="center"/>
      <protection hidden="1"/>
    </xf>
    <xf numFmtId="3" fontId="135" fillId="0" borderId="78" xfId="0" applyNumberFormat="1" applyFont="1" applyBorder="1" applyAlignment="1" applyProtection="1">
      <alignment horizontal="right" vertical="center" shrinkToFit="1"/>
      <protection hidden="1"/>
    </xf>
    <xf numFmtId="3" fontId="135" fillId="0" borderId="131" xfId="0" applyNumberFormat="1" applyFont="1" applyBorder="1" applyAlignment="1" applyProtection="1">
      <alignment horizontal="right" vertical="center" shrinkToFit="1"/>
      <protection hidden="1"/>
    </xf>
    <xf numFmtId="0" fontId="8" fillId="0" borderId="72" xfId="0" applyFont="1" applyBorder="1" applyAlignment="1" applyProtection="1">
      <alignment horizontal="center" vertical="center" wrapText="1"/>
      <protection hidden="1"/>
    </xf>
    <xf numFmtId="0" fontId="8" fillId="0" borderId="2" xfId="0" applyFont="1" applyBorder="1" applyAlignment="1" applyProtection="1">
      <alignment horizontal="center" vertical="center" wrapText="1"/>
      <protection hidden="1"/>
    </xf>
    <xf numFmtId="0" fontId="137" fillId="0" borderId="106" xfId="0" applyFont="1" applyBorder="1" applyAlignment="1">
      <alignment horizontal="center" vertical="center" wrapText="1"/>
    </xf>
    <xf numFmtId="0" fontId="137" fillId="0" borderId="107" xfId="0" applyFont="1" applyBorder="1" applyAlignment="1">
      <alignment horizontal="center" vertical="center" wrapText="1"/>
    </xf>
    <xf numFmtId="0" fontId="145" fillId="0" borderId="180" xfId="0" applyFont="1" applyBorder="1" applyAlignment="1" applyProtection="1">
      <alignment horizontal="center" vertical="center" wrapText="1"/>
      <protection hidden="1"/>
    </xf>
    <xf numFmtId="0" fontId="145" fillId="0" borderId="89" xfId="0" applyFont="1" applyBorder="1" applyAlignment="1" applyProtection="1">
      <alignment horizontal="center" vertical="center" wrapText="1"/>
      <protection hidden="1"/>
    </xf>
    <xf numFmtId="0" fontId="135" fillId="0" borderId="71" xfId="0" applyFont="1" applyBorder="1" applyAlignment="1" applyProtection="1">
      <alignment horizontal="center" vertical="center" textRotation="90" wrapText="1"/>
      <protection hidden="1"/>
    </xf>
    <xf numFmtId="0" fontId="135" fillId="0" borderId="72" xfId="0" applyFont="1" applyBorder="1" applyAlignment="1" applyProtection="1">
      <alignment horizontal="center" vertical="center" textRotation="90" wrapText="1"/>
      <protection hidden="1"/>
    </xf>
    <xf numFmtId="172" fontId="139" fillId="3" borderId="32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53" xfId="0" applyNumberFormat="1" applyFont="1" applyFill="1" applyBorder="1" applyAlignment="1" applyProtection="1">
      <alignment horizontal="center" vertical="center" shrinkToFit="1"/>
      <protection locked="0"/>
    </xf>
    <xf numFmtId="172" fontId="139" fillId="0" borderId="80" xfId="0" applyNumberFormat="1" applyFont="1" applyBorder="1" applyAlignment="1" applyProtection="1">
      <alignment horizontal="center" vertical="center" shrinkToFit="1"/>
      <protection hidden="1"/>
    </xf>
    <xf numFmtId="172" fontId="139" fillId="0" borderId="152" xfId="0" applyNumberFormat="1" applyFont="1" applyBorder="1" applyAlignment="1" applyProtection="1">
      <alignment horizontal="center" vertical="center" shrinkToFit="1"/>
      <protection hidden="1"/>
    </xf>
    <xf numFmtId="3" fontId="138" fillId="0" borderId="11" xfId="0" applyNumberFormat="1" applyFont="1" applyBorder="1" applyAlignment="1" applyProtection="1">
      <alignment horizontal="center" vertical="center" shrinkToFit="1"/>
      <protection hidden="1"/>
    </xf>
    <xf numFmtId="3" fontId="138" fillId="0" borderId="9" xfId="1213" applyNumberFormat="1" applyFont="1" applyBorder="1" applyAlignment="1" applyProtection="1">
      <alignment horizontal="center" vertical="center" shrinkToFit="1"/>
      <protection hidden="1"/>
    </xf>
    <xf numFmtId="3" fontId="138" fillId="0" borderId="139" xfId="1213" applyNumberFormat="1" applyFont="1" applyBorder="1" applyAlignment="1" applyProtection="1">
      <alignment horizontal="center" vertical="center" shrinkToFit="1"/>
      <protection hidden="1"/>
    </xf>
    <xf numFmtId="0" fontId="19" fillId="0" borderId="54" xfId="0" applyFont="1" applyBorder="1" applyAlignment="1" applyProtection="1">
      <alignment horizontal="left" vertical="center" wrapText="1"/>
      <protection hidden="1"/>
    </xf>
    <xf numFmtId="0" fontId="19" fillId="0" borderId="55" xfId="0" applyFont="1" applyBorder="1" applyAlignment="1" applyProtection="1">
      <alignment horizontal="left" vertical="center" wrapText="1"/>
      <protection hidden="1"/>
    </xf>
    <xf numFmtId="0" fontId="19" fillId="0" borderId="56" xfId="0" applyFont="1" applyBorder="1" applyAlignment="1" applyProtection="1">
      <alignment horizontal="left" vertical="center" wrapText="1"/>
      <protection hidden="1"/>
    </xf>
    <xf numFmtId="0" fontId="19" fillId="0" borderId="57" xfId="0" applyFont="1" applyBorder="1" applyAlignment="1" applyProtection="1">
      <alignment horizontal="left" vertical="center" wrapText="1"/>
      <protection hidden="1"/>
    </xf>
    <xf numFmtId="0" fontId="19" fillId="0" borderId="2" xfId="0" applyFont="1" applyBorder="1" applyAlignment="1" applyProtection="1">
      <alignment horizontal="left" vertical="center" wrapText="1"/>
      <protection hidden="1"/>
    </xf>
    <xf numFmtId="0" fontId="19" fillId="0" borderId="58" xfId="0" applyFont="1" applyBorder="1" applyAlignment="1" applyProtection="1">
      <alignment horizontal="left" vertical="center" wrapText="1"/>
      <protection hidden="1"/>
    </xf>
    <xf numFmtId="0" fontId="80" fillId="0" borderId="32" xfId="0" applyFont="1" applyBorder="1" applyAlignment="1">
      <alignment horizontal="center" vertical="center" wrapText="1"/>
    </xf>
    <xf numFmtId="0" fontId="80" fillId="0" borderId="53" xfId="0" applyFont="1" applyBorder="1" applyAlignment="1">
      <alignment horizontal="center" vertical="center" wrapText="1"/>
    </xf>
    <xf numFmtId="172" fontId="139" fillId="3" borderId="116" xfId="0" applyNumberFormat="1" applyFont="1" applyFill="1" applyBorder="1" applyAlignment="1" applyProtection="1">
      <alignment horizontal="center" vertical="center" shrinkToFit="1"/>
      <protection locked="0"/>
    </xf>
    <xf numFmtId="172" fontId="139" fillId="3" borderId="10" xfId="0" applyNumberFormat="1" applyFont="1" applyFill="1" applyBorder="1" applyAlignment="1" applyProtection="1">
      <alignment horizontal="center" vertical="center" shrinkToFit="1"/>
      <protection locked="0"/>
    </xf>
    <xf numFmtId="0" fontId="65" fillId="0" borderId="0" xfId="1213" applyFont="1" applyAlignment="1" applyProtection="1">
      <alignment horizontal="center" vertical="center"/>
      <protection hidden="1"/>
    </xf>
    <xf numFmtId="0" fontId="141" fillId="0" borderId="108" xfId="0" applyFont="1" applyBorder="1" applyAlignment="1" applyProtection="1">
      <alignment horizontal="center" vertical="center"/>
      <protection hidden="1"/>
    </xf>
    <xf numFmtId="0" fontId="141" fillId="0" borderId="97" xfId="0" applyFont="1" applyBorder="1" applyAlignment="1" applyProtection="1">
      <alignment horizontal="center" vertical="center"/>
      <protection hidden="1"/>
    </xf>
    <xf numFmtId="0" fontId="42" fillId="0" borderId="4" xfId="1213" applyFont="1" applyBorder="1" applyAlignment="1" applyProtection="1">
      <alignment horizontal="right" vertical="center"/>
      <protection locked="0" hidden="1"/>
    </xf>
    <xf numFmtId="0" fontId="140" fillId="0" borderId="170" xfId="0" applyFont="1" applyBorder="1" applyAlignment="1" applyProtection="1">
      <alignment horizontal="center" vertical="center" shrinkToFit="1"/>
      <protection hidden="1"/>
    </xf>
    <xf numFmtId="0" fontId="140" fillId="0" borderId="10" xfId="0" applyFont="1" applyBorder="1" applyAlignment="1" applyProtection="1">
      <alignment horizontal="center" vertical="center" shrinkToFit="1"/>
      <protection hidden="1"/>
    </xf>
    <xf numFmtId="0" fontId="58" fillId="0" borderId="137" xfId="0" applyFont="1" applyBorder="1" applyAlignment="1" applyProtection="1">
      <alignment horizontal="left" vertical="center" wrapText="1"/>
      <protection hidden="1"/>
    </xf>
    <xf numFmtId="0" fontId="58" fillId="0" borderId="4" xfId="0" applyFont="1" applyBorder="1" applyAlignment="1" applyProtection="1">
      <alignment horizontal="left" vertical="center" wrapText="1"/>
      <protection hidden="1"/>
    </xf>
    <xf numFmtId="0" fontId="58" fillId="0" borderId="90" xfId="0" applyFont="1" applyBorder="1" applyAlignment="1" applyProtection="1">
      <alignment horizontal="left" vertical="center" wrapText="1"/>
      <protection hidden="1"/>
    </xf>
    <xf numFmtId="0" fontId="23" fillId="0" borderId="15" xfId="0" applyFont="1" applyBorder="1" applyAlignment="1">
      <alignment horizontal="center" vertical="center"/>
    </xf>
    <xf numFmtId="2" fontId="135" fillId="0" borderId="156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159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160" xfId="0" applyNumberFormat="1" applyFont="1" applyBorder="1" applyAlignment="1" applyProtection="1">
      <alignment horizontal="center" vertical="center" textRotation="90" wrapText="1"/>
      <protection hidden="1"/>
    </xf>
    <xf numFmtId="2" fontId="135" fillId="0" borderId="79" xfId="0" applyNumberFormat="1" applyFont="1" applyBorder="1" applyAlignment="1" applyProtection="1">
      <alignment horizontal="center" vertical="center"/>
      <protection hidden="1"/>
    </xf>
    <xf numFmtId="0" fontId="53" fillId="0" borderId="0" xfId="0" applyFont="1" applyAlignment="1" applyProtection="1">
      <alignment horizontal="left"/>
      <protection locked="0" hidden="1"/>
    </xf>
    <xf numFmtId="0" fontId="25" fillId="0" borderId="0" xfId="0" applyFont="1" applyAlignment="1" applyProtection="1">
      <alignment horizontal="justify" vertical="top" wrapText="1"/>
      <protection hidden="1"/>
    </xf>
    <xf numFmtId="3" fontId="135" fillId="0" borderId="121" xfId="0" applyNumberFormat="1" applyFont="1" applyBorder="1" applyAlignment="1" applyProtection="1">
      <alignment horizontal="right" vertical="center" shrinkToFit="1"/>
      <protection hidden="1"/>
    </xf>
    <xf numFmtId="3" fontId="135" fillId="0" borderId="133" xfId="0" applyNumberFormat="1" applyFont="1" applyBorder="1" applyAlignment="1" applyProtection="1">
      <alignment horizontal="right" vertical="center" shrinkToFit="1"/>
      <protection hidden="1"/>
    </xf>
    <xf numFmtId="0" fontId="63" fillId="0" borderId="136" xfId="0" applyFont="1" applyBorder="1" applyAlignment="1" applyProtection="1">
      <alignment horizontal="left" vertical="center" wrapText="1"/>
      <protection hidden="1"/>
    </xf>
    <xf numFmtId="0" fontId="64" fillId="0" borderId="73" xfId="0" applyFont="1" applyBorder="1" applyAlignment="1" applyProtection="1">
      <alignment horizontal="left" vertical="center" wrapText="1"/>
      <protection hidden="1"/>
    </xf>
    <xf numFmtId="0" fontId="64" fillId="0" borderId="122" xfId="0" applyFont="1" applyBorder="1" applyAlignment="1" applyProtection="1">
      <alignment horizontal="left" vertical="center" wrapText="1"/>
      <protection hidden="1"/>
    </xf>
    <xf numFmtId="4" fontId="134" fillId="3" borderId="121" xfId="0" applyNumberFormat="1" applyFont="1" applyFill="1" applyBorder="1" applyAlignment="1" applyProtection="1">
      <alignment horizontal="center" vertical="center" shrinkToFit="1"/>
      <protection locked="0"/>
    </xf>
    <xf numFmtId="4" fontId="134" fillId="3" borderId="122" xfId="0" applyNumberFormat="1" applyFont="1" applyFill="1" applyBorder="1" applyAlignment="1" applyProtection="1">
      <alignment horizontal="center" vertical="center" shrinkToFit="1"/>
      <protection locked="0"/>
    </xf>
    <xf numFmtId="2" fontId="135" fillId="0" borderId="100" xfId="0" applyNumberFormat="1" applyFont="1" applyBorder="1" applyAlignment="1" applyProtection="1">
      <alignment horizontal="center" vertical="center"/>
      <protection hidden="1"/>
    </xf>
    <xf numFmtId="2" fontId="135" fillId="0" borderId="90" xfId="0" applyNumberFormat="1" applyFont="1" applyBorder="1" applyAlignment="1" applyProtection="1">
      <alignment horizontal="center" vertical="center"/>
      <protection hidden="1"/>
    </xf>
  </cellXfs>
  <cellStyles count="1515">
    <cellStyle name="20% — акцент1" xfId="1" builtinId="30" customBuiltin="1"/>
    <cellStyle name="20% — акцент1 10" xfId="2" xr:uid="{00000000-0005-0000-0000-000001000000}"/>
    <cellStyle name="20% — акцент1 10 2" xfId="3" xr:uid="{00000000-0005-0000-0000-000002000000}"/>
    <cellStyle name="20% — акцент1 11" xfId="4" xr:uid="{00000000-0005-0000-0000-000003000000}"/>
    <cellStyle name="20% — акцент1 12" xfId="5" xr:uid="{00000000-0005-0000-0000-000004000000}"/>
    <cellStyle name="20% — акцент1 13" xfId="6" xr:uid="{00000000-0005-0000-0000-000005000000}"/>
    <cellStyle name="20% — акцент1 14" xfId="7" xr:uid="{00000000-0005-0000-0000-000006000000}"/>
    <cellStyle name="20% — акцент1 15" xfId="8" xr:uid="{00000000-0005-0000-0000-000007000000}"/>
    <cellStyle name="20% - Акцент1 2" xfId="9" xr:uid="{00000000-0005-0000-0000-000008000000}"/>
    <cellStyle name="20% — акцент1 2" xfId="10" xr:uid="{00000000-0005-0000-0000-000009000000}"/>
    <cellStyle name="20% - Акцент1 2 2" xfId="11" xr:uid="{00000000-0005-0000-0000-00000A000000}"/>
    <cellStyle name="20% — акцент1 2 2" xfId="12" xr:uid="{00000000-0005-0000-0000-00000B000000}"/>
    <cellStyle name="20% — акцент1 2 2 2" xfId="13" xr:uid="{00000000-0005-0000-0000-00000C000000}"/>
    <cellStyle name="20% — акцент1 2 2 2 2" xfId="14" xr:uid="{00000000-0005-0000-0000-00000D000000}"/>
    <cellStyle name="20% — акцент1 2 2 3" xfId="15" xr:uid="{00000000-0005-0000-0000-00000E000000}"/>
    <cellStyle name="20% — акцент1 2 2 4" xfId="16" xr:uid="{00000000-0005-0000-0000-00000F000000}"/>
    <cellStyle name="20% - Акцент1 2 3" xfId="17" xr:uid="{00000000-0005-0000-0000-000010000000}"/>
    <cellStyle name="20% — акцент1 2 3" xfId="18" xr:uid="{00000000-0005-0000-0000-000011000000}"/>
    <cellStyle name="20% — акцент1 2 3 2" xfId="19" xr:uid="{00000000-0005-0000-0000-000012000000}"/>
    <cellStyle name="20% — акцент1 2 3 3" xfId="20" xr:uid="{00000000-0005-0000-0000-000013000000}"/>
    <cellStyle name="20% - Акцент1 2 4" xfId="21" xr:uid="{00000000-0005-0000-0000-000014000000}"/>
    <cellStyle name="20% — акцент1 2 4" xfId="22" xr:uid="{00000000-0005-0000-0000-000015000000}"/>
    <cellStyle name="20% - Акцент1 2 5" xfId="23" xr:uid="{00000000-0005-0000-0000-000016000000}"/>
    <cellStyle name="20% — акцент1 2 5" xfId="24" xr:uid="{00000000-0005-0000-0000-000017000000}"/>
    <cellStyle name="20% - Акцент1 2 6" xfId="25" xr:uid="{00000000-0005-0000-0000-000018000000}"/>
    <cellStyle name="20% — акцент1 2 6" xfId="26" xr:uid="{00000000-0005-0000-0000-000019000000}"/>
    <cellStyle name="20% - Акцент1 2 7" xfId="27" xr:uid="{00000000-0005-0000-0000-00001A000000}"/>
    <cellStyle name="20% — акцент1 2 7" xfId="28" xr:uid="{00000000-0005-0000-0000-00001B000000}"/>
    <cellStyle name="20% — акцент1 2 8" xfId="29" xr:uid="{00000000-0005-0000-0000-00001C000000}"/>
    <cellStyle name="20% - Акцент1 3" xfId="30" xr:uid="{00000000-0005-0000-0000-00001D000000}"/>
    <cellStyle name="20% — акцент1 3" xfId="31" xr:uid="{00000000-0005-0000-0000-00001E000000}"/>
    <cellStyle name="20% - Акцент1 3 2" xfId="32" xr:uid="{00000000-0005-0000-0000-00001F000000}"/>
    <cellStyle name="20% — акцент1 3 2" xfId="33" xr:uid="{00000000-0005-0000-0000-000020000000}"/>
    <cellStyle name="20% — акцент1 3 2 2" xfId="34" xr:uid="{00000000-0005-0000-0000-000021000000}"/>
    <cellStyle name="20% — акцент1 3 2 2 2" xfId="35" xr:uid="{00000000-0005-0000-0000-000022000000}"/>
    <cellStyle name="20% — акцент1 3 2 3" xfId="36" xr:uid="{00000000-0005-0000-0000-000023000000}"/>
    <cellStyle name="20% — акцент1 3 2 4" xfId="37" xr:uid="{00000000-0005-0000-0000-000024000000}"/>
    <cellStyle name="20% - Акцент1 3 3" xfId="38" xr:uid="{00000000-0005-0000-0000-000025000000}"/>
    <cellStyle name="20% — акцент1 3 3" xfId="39" xr:uid="{00000000-0005-0000-0000-000026000000}"/>
    <cellStyle name="20% — акцент1 3 3 2" xfId="40" xr:uid="{00000000-0005-0000-0000-000027000000}"/>
    <cellStyle name="20% — акцент1 3 3 3" xfId="41" xr:uid="{00000000-0005-0000-0000-000028000000}"/>
    <cellStyle name="20% - Акцент1 3 4" xfId="42" xr:uid="{00000000-0005-0000-0000-000029000000}"/>
    <cellStyle name="20% — акцент1 3 4" xfId="43" xr:uid="{00000000-0005-0000-0000-00002A000000}"/>
    <cellStyle name="20% - Акцент1 3 5" xfId="44" xr:uid="{00000000-0005-0000-0000-00002B000000}"/>
    <cellStyle name="20% — акцент1 3 5" xfId="45" xr:uid="{00000000-0005-0000-0000-00002C000000}"/>
    <cellStyle name="20% - Акцент1 3 6" xfId="46" xr:uid="{00000000-0005-0000-0000-00002D000000}"/>
    <cellStyle name="20% — акцент1 3 6" xfId="47" xr:uid="{00000000-0005-0000-0000-00002E000000}"/>
    <cellStyle name="20% - Акцент1 3 7" xfId="48" xr:uid="{00000000-0005-0000-0000-00002F000000}"/>
    <cellStyle name="20% — акцент1 3 7" xfId="49" xr:uid="{00000000-0005-0000-0000-000030000000}"/>
    <cellStyle name="20% — акцент1 3 8" xfId="50" xr:uid="{00000000-0005-0000-0000-000031000000}"/>
    <cellStyle name="20% - Акцент1 4" xfId="51" xr:uid="{00000000-0005-0000-0000-000032000000}"/>
    <cellStyle name="20% — акцент1 4" xfId="52" xr:uid="{00000000-0005-0000-0000-000033000000}"/>
    <cellStyle name="20% - Акцент1 4 2" xfId="53" xr:uid="{00000000-0005-0000-0000-000034000000}"/>
    <cellStyle name="20% — акцент1 4 2" xfId="54" xr:uid="{00000000-0005-0000-0000-000035000000}"/>
    <cellStyle name="20% — акцент1 4 2 2" xfId="55" xr:uid="{00000000-0005-0000-0000-000036000000}"/>
    <cellStyle name="20% — акцент1 4 2 3" xfId="56" xr:uid="{00000000-0005-0000-0000-000037000000}"/>
    <cellStyle name="20% — акцент1 4 3" xfId="57" xr:uid="{00000000-0005-0000-0000-000038000000}"/>
    <cellStyle name="20% — акцент1 4 4" xfId="58" xr:uid="{00000000-0005-0000-0000-000039000000}"/>
    <cellStyle name="20% — акцент1 4 5" xfId="59" xr:uid="{00000000-0005-0000-0000-00003A000000}"/>
    <cellStyle name="20% — акцент1 4 6" xfId="60" xr:uid="{00000000-0005-0000-0000-00003B000000}"/>
    <cellStyle name="20% — акцент1 4 7" xfId="61" xr:uid="{00000000-0005-0000-0000-00003C000000}"/>
    <cellStyle name="20% - Акцент1 5" xfId="62" xr:uid="{00000000-0005-0000-0000-00003D000000}"/>
    <cellStyle name="20% — акцент1 5" xfId="63" xr:uid="{00000000-0005-0000-0000-00003E000000}"/>
    <cellStyle name="20% - Акцент1 5 2" xfId="64" xr:uid="{00000000-0005-0000-0000-00003F000000}"/>
    <cellStyle name="20% — акцент1 5 2" xfId="65" xr:uid="{00000000-0005-0000-0000-000040000000}"/>
    <cellStyle name="20% — акцент1 5 2 2" xfId="66" xr:uid="{00000000-0005-0000-0000-000041000000}"/>
    <cellStyle name="20% — акцент1 5 3" xfId="67" xr:uid="{00000000-0005-0000-0000-000042000000}"/>
    <cellStyle name="20% — акцент1 5 4" xfId="68" xr:uid="{00000000-0005-0000-0000-000043000000}"/>
    <cellStyle name="20% — акцент1 5 5" xfId="69" xr:uid="{00000000-0005-0000-0000-000044000000}"/>
    <cellStyle name="20% — акцент1 5 6" xfId="70" xr:uid="{00000000-0005-0000-0000-000045000000}"/>
    <cellStyle name="20% - Акцент1 6" xfId="71" xr:uid="{00000000-0005-0000-0000-000046000000}"/>
    <cellStyle name="20% — акцент1 6" xfId="72" xr:uid="{00000000-0005-0000-0000-000047000000}"/>
    <cellStyle name="20% - Акцент1 6 2" xfId="73" xr:uid="{00000000-0005-0000-0000-000048000000}"/>
    <cellStyle name="20% — акцент1 6 2" xfId="74" xr:uid="{00000000-0005-0000-0000-000049000000}"/>
    <cellStyle name="20% — акцент1 6 3" xfId="75" xr:uid="{00000000-0005-0000-0000-00004A000000}"/>
    <cellStyle name="20% — акцент1 6 4" xfId="76" xr:uid="{00000000-0005-0000-0000-00004B000000}"/>
    <cellStyle name="20% — акцент1 6 5" xfId="77" xr:uid="{00000000-0005-0000-0000-00004C000000}"/>
    <cellStyle name="20% - Акцент1 7" xfId="78" xr:uid="{00000000-0005-0000-0000-00004D000000}"/>
    <cellStyle name="20% — акцент1 7" xfId="79" xr:uid="{00000000-0005-0000-0000-00004E000000}"/>
    <cellStyle name="20% — акцент1 7 2" xfId="80" xr:uid="{00000000-0005-0000-0000-00004F000000}"/>
    <cellStyle name="20% — акцент1 8" xfId="81" xr:uid="{00000000-0005-0000-0000-000050000000}"/>
    <cellStyle name="20% — акцент1 8 2" xfId="82" xr:uid="{00000000-0005-0000-0000-000051000000}"/>
    <cellStyle name="20% — акцент1 9" xfId="83" xr:uid="{00000000-0005-0000-0000-000052000000}"/>
    <cellStyle name="20% — акцент1 9 2" xfId="84" xr:uid="{00000000-0005-0000-0000-000053000000}"/>
    <cellStyle name="20% — акцент2" xfId="85" builtinId="34" customBuiltin="1"/>
    <cellStyle name="20% — акцент2 10" xfId="86" xr:uid="{00000000-0005-0000-0000-000055000000}"/>
    <cellStyle name="20% — акцент2 10 2" xfId="87" xr:uid="{00000000-0005-0000-0000-000056000000}"/>
    <cellStyle name="20% — акцент2 11" xfId="88" xr:uid="{00000000-0005-0000-0000-000057000000}"/>
    <cellStyle name="20% — акцент2 12" xfId="89" xr:uid="{00000000-0005-0000-0000-000058000000}"/>
    <cellStyle name="20% — акцент2 13" xfId="90" xr:uid="{00000000-0005-0000-0000-000059000000}"/>
    <cellStyle name="20% — акцент2 14" xfId="91" xr:uid="{00000000-0005-0000-0000-00005A000000}"/>
    <cellStyle name="20% — акцент2 15" xfId="92" xr:uid="{00000000-0005-0000-0000-00005B000000}"/>
    <cellStyle name="20% - Акцент2 2" xfId="93" xr:uid="{00000000-0005-0000-0000-00005C000000}"/>
    <cellStyle name="20% — акцент2 2" xfId="94" xr:uid="{00000000-0005-0000-0000-00005D000000}"/>
    <cellStyle name="20% - Акцент2 2 2" xfId="95" xr:uid="{00000000-0005-0000-0000-00005E000000}"/>
    <cellStyle name="20% — акцент2 2 2" xfId="96" xr:uid="{00000000-0005-0000-0000-00005F000000}"/>
    <cellStyle name="20% — акцент2 2 2 2" xfId="97" xr:uid="{00000000-0005-0000-0000-000060000000}"/>
    <cellStyle name="20% — акцент2 2 2 2 2" xfId="98" xr:uid="{00000000-0005-0000-0000-000061000000}"/>
    <cellStyle name="20% — акцент2 2 2 3" xfId="99" xr:uid="{00000000-0005-0000-0000-000062000000}"/>
    <cellStyle name="20% — акцент2 2 2 4" xfId="100" xr:uid="{00000000-0005-0000-0000-000063000000}"/>
    <cellStyle name="20% - Акцент2 2 3" xfId="101" xr:uid="{00000000-0005-0000-0000-000064000000}"/>
    <cellStyle name="20% — акцент2 2 3" xfId="102" xr:uid="{00000000-0005-0000-0000-000065000000}"/>
    <cellStyle name="20% — акцент2 2 3 2" xfId="103" xr:uid="{00000000-0005-0000-0000-000066000000}"/>
    <cellStyle name="20% — акцент2 2 3 3" xfId="104" xr:uid="{00000000-0005-0000-0000-000067000000}"/>
    <cellStyle name="20% - Акцент2 2 4" xfId="105" xr:uid="{00000000-0005-0000-0000-000068000000}"/>
    <cellStyle name="20% — акцент2 2 4" xfId="106" xr:uid="{00000000-0005-0000-0000-000069000000}"/>
    <cellStyle name="20% - Акцент2 2 5" xfId="107" xr:uid="{00000000-0005-0000-0000-00006A000000}"/>
    <cellStyle name="20% — акцент2 2 5" xfId="108" xr:uid="{00000000-0005-0000-0000-00006B000000}"/>
    <cellStyle name="20% - Акцент2 2 6" xfId="109" xr:uid="{00000000-0005-0000-0000-00006C000000}"/>
    <cellStyle name="20% — акцент2 2 6" xfId="110" xr:uid="{00000000-0005-0000-0000-00006D000000}"/>
    <cellStyle name="20% - Акцент2 2 7" xfId="111" xr:uid="{00000000-0005-0000-0000-00006E000000}"/>
    <cellStyle name="20% — акцент2 2 7" xfId="112" xr:uid="{00000000-0005-0000-0000-00006F000000}"/>
    <cellStyle name="20% — акцент2 2 8" xfId="113" xr:uid="{00000000-0005-0000-0000-000070000000}"/>
    <cellStyle name="20% - Акцент2 3" xfId="114" xr:uid="{00000000-0005-0000-0000-000071000000}"/>
    <cellStyle name="20% — акцент2 3" xfId="115" xr:uid="{00000000-0005-0000-0000-000072000000}"/>
    <cellStyle name="20% - Акцент2 3 2" xfId="116" xr:uid="{00000000-0005-0000-0000-000073000000}"/>
    <cellStyle name="20% — акцент2 3 2" xfId="117" xr:uid="{00000000-0005-0000-0000-000074000000}"/>
    <cellStyle name="20% — акцент2 3 2 2" xfId="118" xr:uid="{00000000-0005-0000-0000-000075000000}"/>
    <cellStyle name="20% — акцент2 3 2 2 2" xfId="119" xr:uid="{00000000-0005-0000-0000-000076000000}"/>
    <cellStyle name="20% — акцент2 3 2 3" xfId="120" xr:uid="{00000000-0005-0000-0000-000077000000}"/>
    <cellStyle name="20% — акцент2 3 2 4" xfId="121" xr:uid="{00000000-0005-0000-0000-000078000000}"/>
    <cellStyle name="20% - Акцент2 3 3" xfId="122" xr:uid="{00000000-0005-0000-0000-000079000000}"/>
    <cellStyle name="20% — акцент2 3 3" xfId="123" xr:uid="{00000000-0005-0000-0000-00007A000000}"/>
    <cellStyle name="20% — акцент2 3 3 2" xfId="124" xr:uid="{00000000-0005-0000-0000-00007B000000}"/>
    <cellStyle name="20% — акцент2 3 3 3" xfId="125" xr:uid="{00000000-0005-0000-0000-00007C000000}"/>
    <cellStyle name="20% - Акцент2 3 4" xfId="126" xr:uid="{00000000-0005-0000-0000-00007D000000}"/>
    <cellStyle name="20% — акцент2 3 4" xfId="127" xr:uid="{00000000-0005-0000-0000-00007E000000}"/>
    <cellStyle name="20% - Акцент2 3 5" xfId="128" xr:uid="{00000000-0005-0000-0000-00007F000000}"/>
    <cellStyle name="20% — акцент2 3 5" xfId="129" xr:uid="{00000000-0005-0000-0000-000080000000}"/>
    <cellStyle name="20% - Акцент2 3 6" xfId="130" xr:uid="{00000000-0005-0000-0000-000081000000}"/>
    <cellStyle name="20% — акцент2 3 6" xfId="131" xr:uid="{00000000-0005-0000-0000-000082000000}"/>
    <cellStyle name="20% - Акцент2 3 7" xfId="132" xr:uid="{00000000-0005-0000-0000-000083000000}"/>
    <cellStyle name="20% — акцент2 3 7" xfId="133" xr:uid="{00000000-0005-0000-0000-000084000000}"/>
    <cellStyle name="20% — акцент2 3 8" xfId="134" xr:uid="{00000000-0005-0000-0000-000085000000}"/>
    <cellStyle name="20% - Акцент2 4" xfId="135" xr:uid="{00000000-0005-0000-0000-000086000000}"/>
    <cellStyle name="20% — акцент2 4" xfId="136" xr:uid="{00000000-0005-0000-0000-000087000000}"/>
    <cellStyle name="20% - Акцент2 4 2" xfId="137" xr:uid="{00000000-0005-0000-0000-000088000000}"/>
    <cellStyle name="20% — акцент2 4 2" xfId="138" xr:uid="{00000000-0005-0000-0000-000089000000}"/>
    <cellStyle name="20% — акцент2 4 2 2" xfId="139" xr:uid="{00000000-0005-0000-0000-00008A000000}"/>
    <cellStyle name="20% — акцент2 4 2 3" xfId="140" xr:uid="{00000000-0005-0000-0000-00008B000000}"/>
    <cellStyle name="20% — акцент2 4 3" xfId="141" xr:uid="{00000000-0005-0000-0000-00008C000000}"/>
    <cellStyle name="20% — акцент2 4 4" xfId="142" xr:uid="{00000000-0005-0000-0000-00008D000000}"/>
    <cellStyle name="20% — акцент2 4 5" xfId="143" xr:uid="{00000000-0005-0000-0000-00008E000000}"/>
    <cellStyle name="20% — акцент2 4 6" xfId="144" xr:uid="{00000000-0005-0000-0000-00008F000000}"/>
    <cellStyle name="20% — акцент2 4 7" xfId="145" xr:uid="{00000000-0005-0000-0000-000090000000}"/>
    <cellStyle name="20% - Акцент2 5" xfId="146" xr:uid="{00000000-0005-0000-0000-000091000000}"/>
    <cellStyle name="20% — акцент2 5" xfId="147" xr:uid="{00000000-0005-0000-0000-000092000000}"/>
    <cellStyle name="20% - Акцент2 5 2" xfId="148" xr:uid="{00000000-0005-0000-0000-000093000000}"/>
    <cellStyle name="20% — акцент2 5 2" xfId="149" xr:uid="{00000000-0005-0000-0000-000094000000}"/>
    <cellStyle name="20% — акцент2 5 2 2" xfId="150" xr:uid="{00000000-0005-0000-0000-000095000000}"/>
    <cellStyle name="20% — акцент2 5 3" xfId="151" xr:uid="{00000000-0005-0000-0000-000096000000}"/>
    <cellStyle name="20% — акцент2 5 4" xfId="152" xr:uid="{00000000-0005-0000-0000-000097000000}"/>
    <cellStyle name="20% — акцент2 5 5" xfId="153" xr:uid="{00000000-0005-0000-0000-000098000000}"/>
    <cellStyle name="20% — акцент2 5 6" xfId="154" xr:uid="{00000000-0005-0000-0000-000099000000}"/>
    <cellStyle name="20% - Акцент2 6" xfId="155" xr:uid="{00000000-0005-0000-0000-00009A000000}"/>
    <cellStyle name="20% — акцент2 6" xfId="156" xr:uid="{00000000-0005-0000-0000-00009B000000}"/>
    <cellStyle name="20% - Акцент2 6 2" xfId="157" xr:uid="{00000000-0005-0000-0000-00009C000000}"/>
    <cellStyle name="20% — акцент2 6 2" xfId="158" xr:uid="{00000000-0005-0000-0000-00009D000000}"/>
    <cellStyle name="20% — акцент2 6 3" xfId="159" xr:uid="{00000000-0005-0000-0000-00009E000000}"/>
    <cellStyle name="20% — акцент2 6 4" xfId="160" xr:uid="{00000000-0005-0000-0000-00009F000000}"/>
    <cellStyle name="20% — акцент2 6 5" xfId="161" xr:uid="{00000000-0005-0000-0000-0000A0000000}"/>
    <cellStyle name="20% - Акцент2 7" xfId="162" xr:uid="{00000000-0005-0000-0000-0000A1000000}"/>
    <cellStyle name="20% — акцент2 7" xfId="163" xr:uid="{00000000-0005-0000-0000-0000A2000000}"/>
    <cellStyle name="20% — акцент2 7 2" xfId="164" xr:uid="{00000000-0005-0000-0000-0000A3000000}"/>
    <cellStyle name="20% — акцент2 8" xfId="165" xr:uid="{00000000-0005-0000-0000-0000A4000000}"/>
    <cellStyle name="20% — акцент2 8 2" xfId="166" xr:uid="{00000000-0005-0000-0000-0000A5000000}"/>
    <cellStyle name="20% — акцент2 9" xfId="167" xr:uid="{00000000-0005-0000-0000-0000A6000000}"/>
    <cellStyle name="20% — акцент2 9 2" xfId="168" xr:uid="{00000000-0005-0000-0000-0000A7000000}"/>
    <cellStyle name="20% — акцент3" xfId="169" builtinId="38" customBuiltin="1"/>
    <cellStyle name="20% — акцент3 10" xfId="170" xr:uid="{00000000-0005-0000-0000-0000A9000000}"/>
    <cellStyle name="20% — акцент3 10 2" xfId="171" xr:uid="{00000000-0005-0000-0000-0000AA000000}"/>
    <cellStyle name="20% — акцент3 11" xfId="172" xr:uid="{00000000-0005-0000-0000-0000AB000000}"/>
    <cellStyle name="20% — акцент3 12" xfId="173" xr:uid="{00000000-0005-0000-0000-0000AC000000}"/>
    <cellStyle name="20% — акцент3 13" xfId="174" xr:uid="{00000000-0005-0000-0000-0000AD000000}"/>
    <cellStyle name="20% — акцент3 14" xfId="175" xr:uid="{00000000-0005-0000-0000-0000AE000000}"/>
    <cellStyle name="20% — акцент3 15" xfId="176" xr:uid="{00000000-0005-0000-0000-0000AF000000}"/>
    <cellStyle name="20% - Акцент3 2" xfId="177" xr:uid="{00000000-0005-0000-0000-0000B0000000}"/>
    <cellStyle name="20% — акцент3 2" xfId="178" xr:uid="{00000000-0005-0000-0000-0000B1000000}"/>
    <cellStyle name="20% - Акцент3 2 2" xfId="179" xr:uid="{00000000-0005-0000-0000-0000B2000000}"/>
    <cellStyle name="20% — акцент3 2 2" xfId="180" xr:uid="{00000000-0005-0000-0000-0000B3000000}"/>
    <cellStyle name="20% — акцент3 2 2 2" xfId="181" xr:uid="{00000000-0005-0000-0000-0000B4000000}"/>
    <cellStyle name="20% — акцент3 2 2 2 2" xfId="182" xr:uid="{00000000-0005-0000-0000-0000B5000000}"/>
    <cellStyle name="20% — акцент3 2 2 3" xfId="183" xr:uid="{00000000-0005-0000-0000-0000B6000000}"/>
    <cellStyle name="20% — акцент3 2 2 4" xfId="184" xr:uid="{00000000-0005-0000-0000-0000B7000000}"/>
    <cellStyle name="20% - Акцент3 2 3" xfId="185" xr:uid="{00000000-0005-0000-0000-0000B8000000}"/>
    <cellStyle name="20% — акцент3 2 3" xfId="186" xr:uid="{00000000-0005-0000-0000-0000B9000000}"/>
    <cellStyle name="20% — акцент3 2 3 2" xfId="187" xr:uid="{00000000-0005-0000-0000-0000BA000000}"/>
    <cellStyle name="20% — акцент3 2 3 3" xfId="188" xr:uid="{00000000-0005-0000-0000-0000BB000000}"/>
    <cellStyle name="20% - Акцент3 2 4" xfId="189" xr:uid="{00000000-0005-0000-0000-0000BC000000}"/>
    <cellStyle name="20% — акцент3 2 4" xfId="190" xr:uid="{00000000-0005-0000-0000-0000BD000000}"/>
    <cellStyle name="20% - Акцент3 2 5" xfId="191" xr:uid="{00000000-0005-0000-0000-0000BE000000}"/>
    <cellStyle name="20% — акцент3 2 5" xfId="192" xr:uid="{00000000-0005-0000-0000-0000BF000000}"/>
    <cellStyle name="20% - Акцент3 2 6" xfId="193" xr:uid="{00000000-0005-0000-0000-0000C0000000}"/>
    <cellStyle name="20% — акцент3 2 6" xfId="194" xr:uid="{00000000-0005-0000-0000-0000C1000000}"/>
    <cellStyle name="20% - Акцент3 2 7" xfId="195" xr:uid="{00000000-0005-0000-0000-0000C2000000}"/>
    <cellStyle name="20% — акцент3 2 7" xfId="196" xr:uid="{00000000-0005-0000-0000-0000C3000000}"/>
    <cellStyle name="20% — акцент3 2 8" xfId="197" xr:uid="{00000000-0005-0000-0000-0000C4000000}"/>
    <cellStyle name="20% - Акцент3 3" xfId="198" xr:uid="{00000000-0005-0000-0000-0000C5000000}"/>
    <cellStyle name="20% — акцент3 3" xfId="199" xr:uid="{00000000-0005-0000-0000-0000C6000000}"/>
    <cellStyle name="20% - Акцент3 3 2" xfId="200" xr:uid="{00000000-0005-0000-0000-0000C7000000}"/>
    <cellStyle name="20% — акцент3 3 2" xfId="201" xr:uid="{00000000-0005-0000-0000-0000C8000000}"/>
    <cellStyle name="20% — акцент3 3 2 2" xfId="202" xr:uid="{00000000-0005-0000-0000-0000C9000000}"/>
    <cellStyle name="20% — акцент3 3 2 2 2" xfId="203" xr:uid="{00000000-0005-0000-0000-0000CA000000}"/>
    <cellStyle name="20% — акцент3 3 2 3" xfId="204" xr:uid="{00000000-0005-0000-0000-0000CB000000}"/>
    <cellStyle name="20% — акцент3 3 2 4" xfId="205" xr:uid="{00000000-0005-0000-0000-0000CC000000}"/>
    <cellStyle name="20% - Акцент3 3 3" xfId="206" xr:uid="{00000000-0005-0000-0000-0000CD000000}"/>
    <cellStyle name="20% — акцент3 3 3" xfId="207" xr:uid="{00000000-0005-0000-0000-0000CE000000}"/>
    <cellStyle name="20% — акцент3 3 3 2" xfId="208" xr:uid="{00000000-0005-0000-0000-0000CF000000}"/>
    <cellStyle name="20% — акцент3 3 3 3" xfId="209" xr:uid="{00000000-0005-0000-0000-0000D0000000}"/>
    <cellStyle name="20% - Акцент3 3 4" xfId="210" xr:uid="{00000000-0005-0000-0000-0000D1000000}"/>
    <cellStyle name="20% — акцент3 3 4" xfId="211" xr:uid="{00000000-0005-0000-0000-0000D2000000}"/>
    <cellStyle name="20% - Акцент3 3 5" xfId="212" xr:uid="{00000000-0005-0000-0000-0000D3000000}"/>
    <cellStyle name="20% — акцент3 3 5" xfId="213" xr:uid="{00000000-0005-0000-0000-0000D4000000}"/>
    <cellStyle name="20% - Акцент3 3 6" xfId="214" xr:uid="{00000000-0005-0000-0000-0000D5000000}"/>
    <cellStyle name="20% — акцент3 3 6" xfId="215" xr:uid="{00000000-0005-0000-0000-0000D6000000}"/>
    <cellStyle name="20% - Акцент3 3 7" xfId="216" xr:uid="{00000000-0005-0000-0000-0000D7000000}"/>
    <cellStyle name="20% — акцент3 3 7" xfId="217" xr:uid="{00000000-0005-0000-0000-0000D8000000}"/>
    <cellStyle name="20% — акцент3 3 8" xfId="218" xr:uid="{00000000-0005-0000-0000-0000D9000000}"/>
    <cellStyle name="20% - Акцент3 4" xfId="219" xr:uid="{00000000-0005-0000-0000-0000DA000000}"/>
    <cellStyle name="20% — акцент3 4" xfId="220" xr:uid="{00000000-0005-0000-0000-0000DB000000}"/>
    <cellStyle name="20% - Акцент3 4 2" xfId="221" xr:uid="{00000000-0005-0000-0000-0000DC000000}"/>
    <cellStyle name="20% — акцент3 4 2" xfId="222" xr:uid="{00000000-0005-0000-0000-0000DD000000}"/>
    <cellStyle name="20% — акцент3 4 2 2" xfId="223" xr:uid="{00000000-0005-0000-0000-0000DE000000}"/>
    <cellStyle name="20% — акцент3 4 2 3" xfId="224" xr:uid="{00000000-0005-0000-0000-0000DF000000}"/>
    <cellStyle name="20% — акцент3 4 3" xfId="225" xr:uid="{00000000-0005-0000-0000-0000E0000000}"/>
    <cellStyle name="20% — акцент3 4 4" xfId="226" xr:uid="{00000000-0005-0000-0000-0000E1000000}"/>
    <cellStyle name="20% — акцент3 4 5" xfId="227" xr:uid="{00000000-0005-0000-0000-0000E2000000}"/>
    <cellStyle name="20% — акцент3 4 6" xfId="228" xr:uid="{00000000-0005-0000-0000-0000E3000000}"/>
    <cellStyle name="20% — акцент3 4 7" xfId="229" xr:uid="{00000000-0005-0000-0000-0000E4000000}"/>
    <cellStyle name="20% - Акцент3 5" xfId="230" xr:uid="{00000000-0005-0000-0000-0000E5000000}"/>
    <cellStyle name="20% — акцент3 5" xfId="231" xr:uid="{00000000-0005-0000-0000-0000E6000000}"/>
    <cellStyle name="20% - Акцент3 5 2" xfId="232" xr:uid="{00000000-0005-0000-0000-0000E7000000}"/>
    <cellStyle name="20% — акцент3 5 2" xfId="233" xr:uid="{00000000-0005-0000-0000-0000E8000000}"/>
    <cellStyle name="20% — акцент3 5 2 2" xfId="234" xr:uid="{00000000-0005-0000-0000-0000E9000000}"/>
    <cellStyle name="20% — акцент3 5 3" xfId="235" xr:uid="{00000000-0005-0000-0000-0000EA000000}"/>
    <cellStyle name="20% — акцент3 5 4" xfId="236" xr:uid="{00000000-0005-0000-0000-0000EB000000}"/>
    <cellStyle name="20% — акцент3 5 5" xfId="237" xr:uid="{00000000-0005-0000-0000-0000EC000000}"/>
    <cellStyle name="20% — акцент3 5 6" xfId="238" xr:uid="{00000000-0005-0000-0000-0000ED000000}"/>
    <cellStyle name="20% - Акцент3 6" xfId="239" xr:uid="{00000000-0005-0000-0000-0000EE000000}"/>
    <cellStyle name="20% — акцент3 6" xfId="240" xr:uid="{00000000-0005-0000-0000-0000EF000000}"/>
    <cellStyle name="20% - Акцент3 6 2" xfId="241" xr:uid="{00000000-0005-0000-0000-0000F0000000}"/>
    <cellStyle name="20% — акцент3 6 2" xfId="242" xr:uid="{00000000-0005-0000-0000-0000F1000000}"/>
    <cellStyle name="20% — акцент3 6 3" xfId="243" xr:uid="{00000000-0005-0000-0000-0000F2000000}"/>
    <cellStyle name="20% — акцент3 6 4" xfId="244" xr:uid="{00000000-0005-0000-0000-0000F3000000}"/>
    <cellStyle name="20% — акцент3 6 5" xfId="245" xr:uid="{00000000-0005-0000-0000-0000F4000000}"/>
    <cellStyle name="20% - Акцент3 7" xfId="246" xr:uid="{00000000-0005-0000-0000-0000F5000000}"/>
    <cellStyle name="20% — акцент3 7" xfId="247" xr:uid="{00000000-0005-0000-0000-0000F6000000}"/>
    <cellStyle name="20% — акцент3 7 2" xfId="248" xr:uid="{00000000-0005-0000-0000-0000F7000000}"/>
    <cellStyle name="20% — акцент3 8" xfId="249" xr:uid="{00000000-0005-0000-0000-0000F8000000}"/>
    <cellStyle name="20% — акцент3 8 2" xfId="250" xr:uid="{00000000-0005-0000-0000-0000F9000000}"/>
    <cellStyle name="20% — акцент3 9" xfId="251" xr:uid="{00000000-0005-0000-0000-0000FA000000}"/>
    <cellStyle name="20% — акцент3 9 2" xfId="252" xr:uid="{00000000-0005-0000-0000-0000FB000000}"/>
    <cellStyle name="20% — акцент4" xfId="253" builtinId="42" customBuiltin="1"/>
    <cellStyle name="20% — акцент4 10" xfId="254" xr:uid="{00000000-0005-0000-0000-0000FD000000}"/>
    <cellStyle name="20% — акцент4 10 2" xfId="255" xr:uid="{00000000-0005-0000-0000-0000FE000000}"/>
    <cellStyle name="20% — акцент4 11" xfId="256" xr:uid="{00000000-0005-0000-0000-0000FF000000}"/>
    <cellStyle name="20% — акцент4 12" xfId="257" xr:uid="{00000000-0005-0000-0000-000000010000}"/>
    <cellStyle name="20% — акцент4 13" xfId="258" xr:uid="{00000000-0005-0000-0000-000001010000}"/>
    <cellStyle name="20% — акцент4 14" xfId="259" xr:uid="{00000000-0005-0000-0000-000002010000}"/>
    <cellStyle name="20% — акцент4 15" xfId="260" xr:uid="{00000000-0005-0000-0000-000003010000}"/>
    <cellStyle name="20% - Акцент4 2" xfId="261" xr:uid="{00000000-0005-0000-0000-000004010000}"/>
    <cellStyle name="20% — акцент4 2" xfId="262" xr:uid="{00000000-0005-0000-0000-000005010000}"/>
    <cellStyle name="20% - Акцент4 2 2" xfId="263" xr:uid="{00000000-0005-0000-0000-000006010000}"/>
    <cellStyle name="20% — акцент4 2 2" xfId="264" xr:uid="{00000000-0005-0000-0000-000007010000}"/>
    <cellStyle name="20% — акцент4 2 2 2" xfId="265" xr:uid="{00000000-0005-0000-0000-000008010000}"/>
    <cellStyle name="20% — акцент4 2 2 2 2" xfId="266" xr:uid="{00000000-0005-0000-0000-000009010000}"/>
    <cellStyle name="20% — акцент4 2 2 3" xfId="267" xr:uid="{00000000-0005-0000-0000-00000A010000}"/>
    <cellStyle name="20% — акцент4 2 2 4" xfId="268" xr:uid="{00000000-0005-0000-0000-00000B010000}"/>
    <cellStyle name="20% - Акцент4 2 3" xfId="269" xr:uid="{00000000-0005-0000-0000-00000C010000}"/>
    <cellStyle name="20% — акцент4 2 3" xfId="270" xr:uid="{00000000-0005-0000-0000-00000D010000}"/>
    <cellStyle name="20% — акцент4 2 3 2" xfId="271" xr:uid="{00000000-0005-0000-0000-00000E010000}"/>
    <cellStyle name="20% — акцент4 2 3 3" xfId="272" xr:uid="{00000000-0005-0000-0000-00000F010000}"/>
    <cellStyle name="20% - Акцент4 2 4" xfId="273" xr:uid="{00000000-0005-0000-0000-000010010000}"/>
    <cellStyle name="20% — акцент4 2 4" xfId="274" xr:uid="{00000000-0005-0000-0000-000011010000}"/>
    <cellStyle name="20% - Акцент4 2 5" xfId="275" xr:uid="{00000000-0005-0000-0000-000012010000}"/>
    <cellStyle name="20% — акцент4 2 5" xfId="276" xr:uid="{00000000-0005-0000-0000-000013010000}"/>
    <cellStyle name="20% - Акцент4 2 6" xfId="277" xr:uid="{00000000-0005-0000-0000-000014010000}"/>
    <cellStyle name="20% — акцент4 2 6" xfId="278" xr:uid="{00000000-0005-0000-0000-000015010000}"/>
    <cellStyle name="20% - Акцент4 2 7" xfId="279" xr:uid="{00000000-0005-0000-0000-000016010000}"/>
    <cellStyle name="20% — акцент4 2 7" xfId="280" xr:uid="{00000000-0005-0000-0000-000017010000}"/>
    <cellStyle name="20% — акцент4 2 8" xfId="281" xr:uid="{00000000-0005-0000-0000-000018010000}"/>
    <cellStyle name="20% - Акцент4 3" xfId="282" xr:uid="{00000000-0005-0000-0000-000019010000}"/>
    <cellStyle name="20% — акцент4 3" xfId="283" xr:uid="{00000000-0005-0000-0000-00001A010000}"/>
    <cellStyle name="20% - Акцент4 3 2" xfId="284" xr:uid="{00000000-0005-0000-0000-00001B010000}"/>
    <cellStyle name="20% — акцент4 3 2" xfId="285" xr:uid="{00000000-0005-0000-0000-00001C010000}"/>
    <cellStyle name="20% — акцент4 3 2 2" xfId="286" xr:uid="{00000000-0005-0000-0000-00001D010000}"/>
    <cellStyle name="20% — акцент4 3 2 2 2" xfId="287" xr:uid="{00000000-0005-0000-0000-00001E010000}"/>
    <cellStyle name="20% — акцент4 3 2 3" xfId="288" xr:uid="{00000000-0005-0000-0000-00001F010000}"/>
    <cellStyle name="20% — акцент4 3 2 4" xfId="289" xr:uid="{00000000-0005-0000-0000-000020010000}"/>
    <cellStyle name="20% - Акцент4 3 3" xfId="290" xr:uid="{00000000-0005-0000-0000-000021010000}"/>
    <cellStyle name="20% — акцент4 3 3" xfId="291" xr:uid="{00000000-0005-0000-0000-000022010000}"/>
    <cellStyle name="20% — акцент4 3 3 2" xfId="292" xr:uid="{00000000-0005-0000-0000-000023010000}"/>
    <cellStyle name="20% — акцент4 3 3 3" xfId="293" xr:uid="{00000000-0005-0000-0000-000024010000}"/>
    <cellStyle name="20% - Акцент4 3 4" xfId="294" xr:uid="{00000000-0005-0000-0000-000025010000}"/>
    <cellStyle name="20% — акцент4 3 4" xfId="295" xr:uid="{00000000-0005-0000-0000-000026010000}"/>
    <cellStyle name="20% - Акцент4 3 5" xfId="296" xr:uid="{00000000-0005-0000-0000-000027010000}"/>
    <cellStyle name="20% — акцент4 3 5" xfId="297" xr:uid="{00000000-0005-0000-0000-000028010000}"/>
    <cellStyle name="20% - Акцент4 3 6" xfId="298" xr:uid="{00000000-0005-0000-0000-000029010000}"/>
    <cellStyle name="20% — акцент4 3 6" xfId="299" xr:uid="{00000000-0005-0000-0000-00002A010000}"/>
    <cellStyle name="20% - Акцент4 3 7" xfId="300" xr:uid="{00000000-0005-0000-0000-00002B010000}"/>
    <cellStyle name="20% — акцент4 3 7" xfId="301" xr:uid="{00000000-0005-0000-0000-00002C010000}"/>
    <cellStyle name="20% — акцент4 3 8" xfId="302" xr:uid="{00000000-0005-0000-0000-00002D010000}"/>
    <cellStyle name="20% - Акцент4 4" xfId="303" xr:uid="{00000000-0005-0000-0000-00002E010000}"/>
    <cellStyle name="20% — акцент4 4" xfId="304" xr:uid="{00000000-0005-0000-0000-00002F010000}"/>
    <cellStyle name="20% - Акцент4 4 2" xfId="305" xr:uid="{00000000-0005-0000-0000-000030010000}"/>
    <cellStyle name="20% — акцент4 4 2" xfId="306" xr:uid="{00000000-0005-0000-0000-000031010000}"/>
    <cellStyle name="20% — акцент4 4 2 2" xfId="307" xr:uid="{00000000-0005-0000-0000-000032010000}"/>
    <cellStyle name="20% — акцент4 4 2 3" xfId="308" xr:uid="{00000000-0005-0000-0000-000033010000}"/>
    <cellStyle name="20% — акцент4 4 3" xfId="309" xr:uid="{00000000-0005-0000-0000-000034010000}"/>
    <cellStyle name="20% — акцент4 4 4" xfId="310" xr:uid="{00000000-0005-0000-0000-000035010000}"/>
    <cellStyle name="20% — акцент4 4 5" xfId="311" xr:uid="{00000000-0005-0000-0000-000036010000}"/>
    <cellStyle name="20% — акцент4 4 6" xfId="312" xr:uid="{00000000-0005-0000-0000-000037010000}"/>
    <cellStyle name="20% — акцент4 4 7" xfId="313" xr:uid="{00000000-0005-0000-0000-000038010000}"/>
    <cellStyle name="20% - Акцент4 5" xfId="314" xr:uid="{00000000-0005-0000-0000-000039010000}"/>
    <cellStyle name="20% — акцент4 5" xfId="315" xr:uid="{00000000-0005-0000-0000-00003A010000}"/>
    <cellStyle name="20% - Акцент4 5 2" xfId="316" xr:uid="{00000000-0005-0000-0000-00003B010000}"/>
    <cellStyle name="20% — акцент4 5 2" xfId="317" xr:uid="{00000000-0005-0000-0000-00003C010000}"/>
    <cellStyle name="20% — акцент4 5 2 2" xfId="318" xr:uid="{00000000-0005-0000-0000-00003D010000}"/>
    <cellStyle name="20% — акцент4 5 3" xfId="319" xr:uid="{00000000-0005-0000-0000-00003E010000}"/>
    <cellStyle name="20% — акцент4 5 4" xfId="320" xr:uid="{00000000-0005-0000-0000-00003F010000}"/>
    <cellStyle name="20% — акцент4 5 5" xfId="321" xr:uid="{00000000-0005-0000-0000-000040010000}"/>
    <cellStyle name="20% — акцент4 5 6" xfId="322" xr:uid="{00000000-0005-0000-0000-000041010000}"/>
    <cellStyle name="20% - Акцент4 6" xfId="323" xr:uid="{00000000-0005-0000-0000-000042010000}"/>
    <cellStyle name="20% — акцент4 6" xfId="324" xr:uid="{00000000-0005-0000-0000-000043010000}"/>
    <cellStyle name="20% - Акцент4 6 2" xfId="325" xr:uid="{00000000-0005-0000-0000-000044010000}"/>
    <cellStyle name="20% — акцент4 6 2" xfId="326" xr:uid="{00000000-0005-0000-0000-000045010000}"/>
    <cellStyle name="20% — акцент4 6 3" xfId="327" xr:uid="{00000000-0005-0000-0000-000046010000}"/>
    <cellStyle name="20% — акцент4 6 4" xfId="328" xr:uid="{00000000-0005-0000-0000-000047010000}"/>
    <cellStyle name="20% — акцент4 6 5" xfId="329" xr:uid="{00000000-0005-0000-0000-000048010000}"/>
    <cellStyle name="20% - Акцент4 7" xfId="330" xr:uid="{00000000-0005-0000-0000-000049010000}"/>
    <cellStyle name="20% — акцент4 7" xfId="331" xr:uid="{00000000-0005-0000-0000-00004A010000}"/>
    <cellStyle name="20% — акцент4 7 2" xfId="332" xr:uid="{00000000-0005-0000-0000-00004B010000}"/>
    <cellStyle name="20% — акцент4 8" xfId="333" xr:uid="{00000000-0005-0000-0000-00004C010000}"/>
    <cellStyle name="20% — акцент4 8 2" xfId="334" xr:uid="{00000000-0005-0000-0000-00004D010000}"/>
    <cellStyle name="20% — акцент4 9" xfId="335" xr:uid="{00000000-0005-0000-0000-00004E010000}"/>
    <cellStyle name="20% — акцент4 9 2" xfId="336" xr:uid="{00000000-0005-0000-0000-00004F010000}"/>
    <cellStyle name="20% — акцент5" xfId="337" builtinId="46" customBuiltin="1"/>
    <cellStyle name="20% — акцент5 10" xfId="338" xr:uid="{00000000-0005-0000-0000-000051010000}"/>
    <cellStyle name="20% — акцент5 10 2" xfId="339" xr:uid="{00000000-0005-0000-0000-000052010000}"/>
    <cellStyle name="20% — акцент5 11" xfId="340" xr:uid="{00000000-0005-0000-0000-000053010000}"/>
    <cellStyle name="20% — акцент5 12" xfId="341" xr:uid="{00000000-0005-0000-0000-000054010000}"/>
    <cellStyle name="20% — акцент5 13" xfId="342" xr:uid="{00000000-0005-0000-0000-000055010000}"/>
    <cellStyle name="20% — акцент5 14" xfId="343" xr:uid="{00000000-0005-0000-0000-000056010000}"/>
    <cellStyle name="20% — акцент5 15" xfId="344" xr:uid="{00000000-0005-0000-0000-000057010000}"/>
    <cellStyle name="20% - Акцент5 2" xfId="345" xr:uid="{00000000-0005-0000-0000-000058010000}"/>
    <cellStyle name="20% — акцент5 2" xfId="346" xr:uid="{00000000-0005-0000-0000-000059010000}"/>
    <cellStyle name="20% - Акцент5 2 2" xfId="347" xr:uid="{00000000-0005-0000-0000-00005A010000}"/>
    <cellStyle name="20% — акцент5 2 2" xfId="348" xr:uid="{00000000-0005-0000-0000-00005B010000}"/>
    <cellStyle name="20% — акцент5 2 2 2" xfId="349" xr:uid="{00000000-0005-0000-0000-00005C010000}"/>
    <cellStyle name="20% — акцент5 2 2 2 2" xfId="350" xr:uid="{00000000-0005-0000-0000-00005D010000}"/>
    <cellStyle name="20% — акцент5 2 2 3" xfId="351" xr:uid="{00000000-0005-0000-0000-00005E010000}"/>
    <cellStyle name="20% — акцент5 2 2 4" xfId="352" xr:uid="{00000000-0005-0000-0000-00005F010000}"/>
    <cellStyle name="20% - Акцент5 2 3" xfId="353" xr:uid="{00000000-0005-0000-0000-000060010000}"/>
    <cellStyle name="20% — акцент5 2 3" xfId="354" xr:uid="{00000000-0005-0000-0000-000061010000}"/>
    <cellStyle name="20% — акцент5 2 3 2" xfId="355" xr:uid="{00000000-0005-0000-0000-000062010000}"/>
    <cellStyle name="20% — акцент5 2 3 3" xfId="356" xr:uid="{00000000-0005-0000-0000-000063010000}"/>
    <cellStyle name="20% - Акцент5 2 4" xfId="357" xr:uid="{00000000-0005-0000-0000-000064010000}"/>
    <cellStyle name="20% — акцент5 2 4" xfId="358" xr:uid="{00000000-0005-0000-0000-000065010000}"/>
    <cellStyle name="20% - Акцент5 2 5" xfId="359" xr:uid="{00000000-0005-0000-0000-000066010000}"/>
    <cellStyle name="20% — акцент5 2 5" xfId="360" xr:uid="{00000000-0005-0000-0000-000067010000}"/>
    <cellStyle name="20% - Акцент5 2 6" xfId="361" xr:uid="{00000000-0005-0000-0000-000068010000}"/>
    <cellStyle name="20% — акцент5 2 6" xfId="362" xr:uid="{00000000-0005-0000-0000-000069010000}"/>
    <cellStyle name="20% - Акцент5 2 7" xfId="363" xr:uid="{00000000-0005-0000-0000-00006A010000}"/>
    <cellStyle name="20% — акцент5 2 7" xfId="364" xr:uid="{00000000-0005-0000-0000-00006B010000}"/>
    <cellStyle name="20% — акцент5 2 8" xfId="365" xr:uid="{00000000-0005-0000-0000-00006C010000}"/>
    <cellStyle name="20% - Акцент5 3" xfId="366" xr:uid="{00000000-0005-0000-0000-00006D010000}"/>
    <cellStyle name="20% — акцент5 3" xfId="367" xr:uid="{00000000-0005-0000-0000-00006E010000}"/>
    <cellStyle name="20% - Акцент5 3 2" xfId="368" xr:uid="{00000000-0005-0000-0000-00006F010000}"/>
    <cellStyle name="20% — акцент5 3 2" xfId="369" xr:uid="{00000000-0005-0000-0000-000070010000}"/>
    <cellStyle name="20% — акцент5 3 2 2" xfId="370" xr:uid="{00000000-0005-0000-0000-000071010000}"/>
    <cellStyle name="20% — акцент5 3 2 2 2" xfId="371" xr:uid="{00000000-0005-0000-0000-000072010000}"/>
    <cellStyle name="20% — акцент5 3 2 3" xfId="372" xr:uid="{00000000-0005-0000-0000-000073010000}"/>
    <cellStyle name="20% — акцент5 3 2 4" xfId="373" xr:uid="{00000000-0005-0000-0000-000074010000}"/>
    <cellStyle name="20% - Акцент5 3 3" xfId="374" xr:uid="{00000000-0005-0000-0000-000075010000}"/>
    <cellStyle name="20% — акцент5 3 3" xfId="375" xr:uid="{00000000-0005-0000-0000-000076010000}"/>
    <cellStyle name="20% — акцент5 3 3 2" xfId="376" xr:uid="{00000000-0005-0000-0000-000077010000}"/>
    <cellStyle name="20% — акцент5 3 3 3" xfId="377" xr:uid="{00000000-0005-0000-0000-000078010000}"/>
    <cellStyle name="20% - Акцент5 3 4" xfId="378" xr:uid="{00000000-0005-0000-0000-000079010000}"/>
    <cellStyle name="20% — акцент5 3 4" xfId="379" xr:uid="{00000000-0005-0000-0000-00007A010000}"/>
    <cellStyle name="20% - Акцент5 3 5" xfId="380" xr:uid="{00000000-0005-0000-0000-00007B010000}"/>
    <cellStyle name="20% — акцент5 3 5" xfId="381" xr:uid="{00000000-0005-0000-0000-00007C010000}"/>
    <cellStyle name="20% - Акцент5 3 6" xfId="382" xr:uid="{00000000-0005-0000-0000-00007D010000}"/>
    <cellStyle name="20% — акцент5 3 6" xfId="383" xr:uid="{00000000-0005-0000-0000-00007E010000}"/>
    <cellStyle name="20% - Акцент5 3 7" xfId="384" xr:uid="{00000000-0005-0000-0000-00007F010000}"/>
    <cellStyle name="20% — акцент5 3 7" xfId="385" xr:uid="{00000000-0005-0000-0000-000080010000}"/>
    <cellStyle name="20% — акцент5 3 8" xfId="386" xr:uid="{00000000-0005-0000-0000-000081010000}"/>
    <cellStyle name="20% - Акцент5 4" xfId="387" xr:uid="{00000000-0005-0000-0000-000082010000}"/>
    <cellStyle name="20% — акцент5 4" xfId="388" xr:uid="{00000000-0005-0000-0000-000083010000}"/>
    <cellStyle name="20% - Акцент5 4 2" xfId="389" xr:uid="{00000000-0005-0000-0000-000084010000}"/>
    <cellStyle name="20% — акцент5 4 2" xfId="390" xr:uid="{00000000-0005-0000-0000-000085010000}"/>
    <cellStyle name="20% — акцент5 4 2 2" xfId="391" xr:uid="{00000000-0005-0000-0000-000086010000}"/>
    <cellStyle name="20% — акцент5 4 2 3" xfId="392" xr:uid="{00000000-0005-0000-0000-000087010000}"/>
    <cellStyle name="20% — акцент5 4 3" xfId="393" xr:uid="{00000000-0005-0000-0000-000088010000}"/>
    <cellStyle name="20% — акцент5 4 4" xfId="394" xr:uid="{00000000-0005-0000-0000-000089010000}"/>
    <cellStyle name="20% — акцент5 4 5" xfId="395" xr:uid="{00000000-0005-0000-0000-00008A010000}"/>
    <cellStyle name="20% — акцент5 4 6" xfId="396" xr:uid="{00000000-0005-0000-0000-00008B010000}"/>
    <cellStyle name="20% — акцент5 4 7" xfId="397" xr:uid="{00000000-0005-0000-0000-00008C010000}"/>
    <cellStyle name="20% - Акцент5 5" xfId="398" xr:uid="{00000000-0005-0000-0000-00008D010000}"/>
    <cellStyle name="20% — акцент5 5" xfId="399" xr:uid="{00000000-0005-0000-0000-00008E010000}"/>
    <cellStyle name="20% - Акцент5 5 2" xfId="400" xr:uid="{00000000-0005-0000-0000-00008F010000}"/>
    <cellStyle name="20% — акцент5 5 2" xfId="401" xr:uid="{00000000-0005-0000-0000-000090010000}"/>
    <cellStyle name="20% — акцент5 5 2 2" xfId="402" xr:uid="{00000000-0005-0000-0000-000091010000}"/>
    <cellStyle name="20% — акцент5 5 3" xfId="403" xr:uid="{00000000-0005-0000-0000-000092010000}"/>
    <cellStyle name="20% — акцент5 5 4" xfId="404" xr:uid="{00000000-0005-0000-0000-000093010000}"/>
    <cellStyle name="20% — акцент5 5 5" xfId="405" xr:uid="{00000000-0005-0000-0000-000094010000}"/>
    <cellStyle name="20% — акцент5 5 6" xfId="406" xr:uid="{00000000-0005-0000-0000-000095010000}"/>
    <cellStyle name="20% - Акцент5 6" xfId="407" xr:uid="{00000000-0005-0000-0000-000096010000}"/>
    <cellStyle name="20% — акцент5 6" xfId="408" xr:uid="{00000000-0005-0000-0000-000097010000}"/>
    <cellStyle name="20% - Акцент5 6 2" xfId="409" xr:uid="{00000000-0005-0000-0000-000098010000}"/>
    <cellStyle name="20% — акцент5 6 2" xfId="410" xr:uid="{00000000-0005-0000-0000-000099010000}"/>
    <cellStyle name="20% — акцент5 6 3" xfId="411" xr:uid="{00000000-0005-0000-0000-00009A010000}"/>
    <cellStyle name="20% — акцент5 6 4" xfId="412" xr:uid="{00000000-0005-0000-0000-00009B010000}"/>
    <cellStyle name="20% — акцент5 6 5" xfId="413" xr:uid="{00000000-0005-0000-0000-00009C010000}"/>
    <cellStyle name="20% - Акцент5 7" xfId="414" xr:uid="{00000000-0005-0000-0000-00009D010000}"/>
    <cellStyle name="20% — акцент5 7" xfId="415" xr:uid="{00000000-0005-0000-0000-00009E010000}"/>
    <cellStyle name="20% — акцент5 7 2" xfId="416" xr:uid="{00000000-0005-0000-0000-00009F010000}"/>
    <cellStyle name="20% — акцент5 8" xfId="417" xr:uid="{00000000-0005-0000-0000-0000A0010000}"/>
    <cellStyle name="20% — акцент5 8 2" xfId="418" xr:uid="{00000000-0005-0000-0000-0000A1010000}"/>
    <cellStyle name="20% — акцент5 9" xfId="419" xr:uid="{00000000-0005-0000-0000-0000A2010000}"/>
    <cellStyle name="20% — акцент5 9 2" xfId="420" xr:uid="{00000000-0005-0000-0000-0000A3010000}"/>
    <cellStyle name="20% — акцент6" xfId="421" builtinId="50" customBuiltin="1"/>
    <cellStyle name="20% — акцент6 10" xfId="422" xr:uid="{00000000-0005-0000-0000-0000A5010000}"/>
    <cellStyle name="20% — акцент6 10 2" xfId="423" xr:uid="{00000000-0005-0000-0000-0000A6010000}"/>
    <cellStyle name="20% — акцент6 11" xfId="424" xr:uid="{00000000-0005-0000-0000-0000A7010000}"/>
    <cellStyle name="20% — акцент6 12" xfId="425" xr:uid="{00000000-0005-0000-0000-0000A8010000}"/>
    <cellStyle name="20% — акцент6 13" xfId="426" xr:uid="{00000000-0005-0000-0000-0000A9010000}"/>
    <cellStyle name="20% — акцент6 14" xfId="427" xr:uid="{00000000-0005-0000-0000-0000AA010000}"/>
    <cellStyle name="20% — акцент6 15" xfId="428" xr:uid="{00000000-0005-0000-0000-0000AB010000}"/>
    <cellStyle name="20% - Акцент6 2" xfId="429" xr:uid="{00000000-0005-0000-0000-0000AC010000}"/>
    <cellStyle name="20% — акцент6 2" xfId="430" xr:uid="{00000000-0005-0000-0000-0000AD010000}"/>
    <cellStyle name="20% - Акцент6 2 2" xfId="431" xr:uid="{00000000-0005-0000-0000-0000AE010000}"/>
    <cellStyle name="20% — акцент6 2 2" xfId="432" xr:uid="{00000000-0005-0000-0000-0000AF010000}"/>
    <cellStyle name="20% — акцент6 2 2 2" xfId="433" xr:uid="{00000000-0005-0000-0000-0000B0010000}"/>
    <cellStyle name="20% — акцент6 2 2 2 2" xfId="434" xr:uid="{00000000-0005-0000-0000-0000B1010000}"/>
    <cellStyle name="20% — акцент6 2 2 3" xfId="435" xr:uid="{00000000-0005-0000-0000-0000B2010000}"/>
    <cellStyle name="20% — акцент6 2 2 4" xfId="436" xr:uid="{00000000-0005-0000-0000-0000B3010000}"/>
    <cellStyle name="20% - Акцент6 2 3" xfId="437" xr:uid="{00000000-0005-0000-0000-0000B4010000}"/>
    <cellStyle name="20% — акцент6 2 3" xfId="438" xr:uid="{00000000-0005-0000-0000-0000B5010000}"/>
    <cellStyle name="20% — акцент6 2 3 2" xfId="439" xr:uid="{00000000-0005-0000-0000-0000B6010000}"/>
    <cellStyle name="20% — акцент6 2 3 3" xfId="440" xr:uid="{00000000-0005-0000-0000-0000B7010000}"/>
    <cellStyle name="20% - Акцент6 2 4" xfId="441" xr:uid="{00000000-0005-0000-0000-0000B8010000}"/>
    <cellStyle name="20% — акцент6 2 4" xfId="442" xr:uid="{00000000-0005-0000-0000-0000B9010000}"/>
    <cellStyle name="20% - Акцент6 2 5" xfId="443" xr:uid="{00000000-0005-0000-0000-0000BA010000}"/>
    <cellStyle name="20% — акцент6 2 5" xfId="444" xr:uid="{00000000-0005-0000-0000-0000BB010000}"/>
    <cellStyle name="20% - Акцент6 2 6" xfId="445" xr:uid="{00000000-0005-0000-0000-0000BC010000}"/>
    <cellStyle name="20% — акцент6 2 6" xfId="446" xr:uid="{00000000-0005-0000-0000-0000BD010000}"/>
    <cellStyle name="20% - Акцент6 2 7" xfId="447" xr:uid="{00000000-0005-0000-0000-0000BE010000}"/>
    <cellStyle name="20% — акцент6 2 7" xfId="448" xr:uid="{00000000-0005-0000-0000-0000BF010000}"/>
    <cellStyle name="20% — акцент6 2 8" xfId="449" xr:uid="{00000000-0005-0000-0000-0000C0010000}"/>
    <cellStyle name="20% - Акцент6 3" xfId="450" xr:uid="{00000000-0005-0000-0000-0000C1010000}"/>
    <cellStyle name="20% — акцент6 3" xfId="451" xr:uid="{00000000-0005-0000-0000-0000C2010000}"/>
    <cellStyle name="20% - Акцент6 3 2" xfId="452" xr:uid="{00000000-0005-0000-0000-0000C3010000}"/>
    <cellStyle name="20% — акцент6 3 2" xfId="453" xr:uid="{00000000-0005-0000-0000-0000C4010000}"/>
    <cellStyle name="20% — акцент6 3 2 2" xfId="454" xr:uid="{00000000-0005-0000-0000-0000C5010000}"/>
    <cellStyle name="20% — акцент6 3 2 2 2" xfId="455" xr:uid="{00000000-0005-0000-0000-0000C6010000}"/>
    <cellStyle name="20% — акцент6 3 2 3" xfId="456" xr:uid="{00000000-0005-0000-0000-0000C7010000}"/>
    <cellStyle name="20% — акцент6 3 2 4" xfId="457" xr:uid="{00000000-0005-0000-0000-0000C8010000}"/>
    <cellStyle name="20% - Акцент6 3 3" xfId="458" xr:uid="{00000000-0005-0000-0000-0000C9010000}"/>
    <cellStyle name="20% — акцент6 3 3" xfId="459" xr:uid="{00000000-0005-0000-0000-0000CA010000}"/>
    <cellStyle name="20% — акцент6 3 3 2" xfId="460" xr:uid="{00000000-0005-0000-0000-0000CB010000}"/>
    <cellStyle name="20% — акцент6 3 3 3" xfId="461" xr:uid="{00000000-0005-0000-0000-0000CC010000}"/>
    <cellStyle name="20% - Акцент6 3 4" xfId="462" xr:uid="{00000000-0005-0000-0000-0000CD010000}"/>
    <cellStyle name="20% — акцент6 3 4" xfId="463" xr:uid="{00000000-0005-0000-0000-0000CE010000}"/>
    <cellStyle name="20% - Акцент6 3 5" xfId="464" xr:uid="{00000000-0005-0000-0000-0000CF010000}"/>
    <cellStyle name="20% — акцент6 3 5" xfId="465" xr:uid="{00000000-0005-0000-0000-0000D0010000}"/>
    <cellStyle name="20% - Акцент6 3 6" xfId="466" xr:uid="{00000000-0005-0000-0000-0000D1010000}"/>
    <cellStyle name="20% — акцент6 3 6" xfId="467" xr:uid="{00000000-0005-0000-0000-0000D2010000}"/>
    <cellStyle name="20% - Акцент6 3 7" xfId="468" xr:uid="{00000000-0005-0000-0000-0000D3010000}"/>
    <cellStyle name="20% — акцент6 3 7" xfId="469" xr:uid="{00000000-0005-0000-0000-0000D4010000}"/>
    <cellStyle name="20% — акцент6 3 8" xfId="470" xr:uid="{00000000-0005-0000-0000-0000D5010000}"/>
    <cellStyle name="20% - Акцент6 4" xfId="471" xr:uid="{00000000-0005-0000-0000-0000D6010000}"/>
    <cellStyle name="20% — акцент6 4" xfId="472" xr:uid="{00000000-0005-0000-0000-0000D7010000}"/>
    <cellStyle name="20% - Акцент6 4 2" xfId="473" xr:uid="{00000000-0005-0000-0000-0000D8010000}"/>
    <cellStyle name="20% — акцент6 4 2" xfId="474" xr:uid="{00000000-0005-0000-0000-0000D9010000}"/>
    <cellStyle name="20% — акцент6 4 2 2" xfId="475" xr:uid="{00000000-0005-0000-0000-0000DA010000}"/>
    <cellStyle name="20% — акцент6 4 2 3" xfId="476" xr:uid="{00000000-0005-0000-0000-0000DB010000}"/>
    <cellStyle name="20% — акцент6 4 3" xfId="477" xr:uid="{00000000-0005-0000-0000-0000DC010000}"/>
    <cellStyle name="20% — акцент6 4 4" xfId="478" xr:uid="{00000000-0005-0000-0000-0000DD010000}"/>
    <cellStyle name="20% — акцент6 4 5" xfId="479" xr:uid="{00000000-0005-0000-0000-0000DE010000}"/>
    <cellStyle name="20% — акцент6 4 6" xfId="480" xr:uid="{00000000-0005-0000-0000-0000DF010000}"/>
    <cellStyle name="20% — акцент6 4 7" xfId="481" xr:uid="{00000000-0005-0000-0000-0000E0010000}"/>
    <cellStyle name="20% - Акцент6 5" xfId="482" xr:uid="{00000000-0005-0000-0000-0000E1010000}"/>
    <cellStyle name="20% — акцент6 5" xfId="483" xr:uid="{00000000-0005-0000-0000-0000E2010000}"/>
    <cellStyle name="20% - Акцент6 5 2" xfId="484" xr:uid="{00000000-0005-0000-0000-0000E3010000}"/>
    <cellStyle name="20% — акцент6 5 2" xfId="485" xr:uid="{00000000-0005-0000-0000-0000E4010000}"/>
    <cellStyle name="20% — акцент6 5 2 2" xfId="486" xr:uid="{00000000-0005-0000-0000-0000E5010000}"/>
    <cellStyle name="20% — акцент6 5 3" xfId="487" xr:uid="{00000000-0005-0000-0000-0000E6010000}"/>
    <cellStyle name="20% — акцент6 5 4" xfId="488" xr:uid="{00000000-0005-0000-0000-0000E7010000}"/>
    <cellStyle name="20% — акцент6 5 5" xfId="489" xr:uid="{00000000-0005-0000-0000-0000E8010000}"/>
    <cellStyle name="20% — акцент6 5 6" xfId="490" xr:uid="{00000000-0005-0000-0000-0000E9010000}"/>
    <cellStyle name="20% - Акцент6 6" xfId="491" xr:uid="{00000000-0005-0000-0000-0000EA010000}"/>
    <cellStyle name="20% — акцент6 6" xfId="492" xr:uid="{00000000-0005-0000-0000-0000EB010000}"/>
    <cellStyle name="20% - Акцент6 6 2" xfId="493" xr:uid="{00000000-0005-0000-0000-0000EC010000}"/>
    <cellStyle name="20% — акцент6 6 2" xfId="494" xr:uid="{00000000-0005-0000-0000-0000ED010000}"/>
    <cellStyle name="20% — акцент6 6 3" xfId="495" xr:uid="{00000000-0005-0000-0000-0000EE010000}"/>
    <cellStyle name="20% — акцент6 6 4" xfId="496" xr:uid="{00000000-0005-0000-0000-0000EF010000}"/>
    <cellStyle name="20% — акцент6 6 5" xfId="497" xr:uid="{00000000-0005-0000-0000-0000F0010000}"/>
    <cellStyle name="20% - Акцент6 7" xfId="498" xr:uid="{00000000-0005-0000-0000-0000F1010000}"/>
    <cellStyle name="20% — акцент6 7" xfId="499" xr:uid="{00000000-0005-0000-0000-0000F2010000}"/>
    <cellStyle name="20% — акцент6 7 2" xfId="500" xr:uid="{00000000-0005-0000-0000-0000F3010000}"/>
    <cellStyle name="20% — акцент6 8" xfId="501" xr:uid="{00000000-0005-0000-0000-0000F4010000}"/>
    <cellStyle name="20% — акцент6 8 2" xfId="502" xr:uid="{00000000-0005-0000-0000-0000F5010000}"/>
    <cellStyle name="20% — акцент6 9" xfId="503" xr:uid="{00000000-0005-0000-0000-0000F6010000}"/>
    <cellStyle name="20% — акцент6 9 2" xfId="504" xr:uid="{00000000-0005-0000-0000-0000F7010000}"/>
    <cellStyle name="40% — акцент1" xfId="505" builtinId="31" customBuiltin="1"/>
    <cellStyle name="40% — акцент1 10" xfId="506" xr:uid="{00000000-0005-0000-0000-0000F9010000}"/>
    <cellStyle name="40% — акцент1 10 2" xfId="507" xr:uid="{00000000-0005-0000-0000-0000FA010000}"/>
    <cellStyle name="40% — акцент1 11" xfId="508" xr:uid="{00000000-0005-0000-0000-0000FB010000}"/>
    <cellStyle name="40% — акцент1 12" xfId="509" xr:uid="{00000000-0005-0000-0000-0000FC010000}"/>
    <cellStyle name="40% — акцент1 13" xfId="510" xr:uid="{00000000-0005-0000-0000-0000FD010000}"/>
    <cellStyle name="40% — акцент1 14" xfId="511" xr:uid="{00000000-0005-0000-0000-0000FE010000}"/>
    <cellStyle name="40% — акцент1 15" xfId="512" xr:uid="{00000000-0005-0000-0000-0000FF010000}"/>
    <cellStyle name="40% - Акцент1 2" xfId="513" xr:uid="{00000000-0005-0000-0000-000000020000}"/>
    <cellStyle name="40% — акцент1 2" xfId="514" xr:uid="{00000000-0005-0000-0000-000001020000}"/>
    <cellStyle name="40% - Акцент1 2 2" xfId="515" xr:uid="{00000000-0005-0000-0000-000002020000}"/>
    <cellStyle name="40% — акцент1 2 2" xfId="516" xr:uid="{00000000-0005-0000-0000-000003020000}"/>
    <cellStyle name="40% — акцент1 2 2 2" xfId="517" xr:uid="{00000000-0005-0000-0000-000004020000}"/>
    <cellStyle name="40% — акцент1 2 2 2 2" xfId="518" xr:uid="{00000000-0005-0000-0000-000005020000}"/>
    <cellStyle name="40% — акцент1 2 2 3" xfId="519" xr:uid="{00000000-0005-0000-0000-000006020000}"/>
    <cellStyle name="40% — акцент1 2 2 4" xfId="520" xr:uid="{00000000-0005-0000-0000-000007020000}"/>
    <cellStyle name="40% - Акцент1 2 3" xfId="521" xr:uid="{00000000-0005-0000-0000-000008020000}"/>
    <cellStyle name="40% — акцент1 2 3" xfId="522" xr:uid="{00000000-0005-0000-0000-000009020000}"/>
    <cellStyle name="40% — акцент1 2 3 2" xfId="523" xr:uid="{00000000-0005-0000-0000-00000A020000}"/>
    <cellStyle name="40% — акцент1 2 3 3" xfId="524" xr:uid="{00000000-0005-0000-0000-00000B020000}"/>
    <cellStyle name="40% - Акцент1 2 4" xfId="525" xr:uid="{00000000-0005-0000-0000-00000C020000}"/>
    <cellStyle name="40% — акцент1 2 4" xfId="526" xr:uid="{00000000-0005-0000-0000-00000D020000}"/>
    <cellStyle name="40% - Акцент1 2 5" xfId="527" xr:uid="{00000000-0005-0000-0000-00000E020000}"/>
    <cellStyle name="40% — акцент1 2 5" xfId="528" xr:uid="{00000000-0005-0000-0000-00000F020000}"/>
    <cellStyle name="40% - Акцент1 2 6" xfId="529" xr:uid="{00000000-0005-0000-0000-000010020000}"/>
    <cellStyle name="40% — акцент1 2 6" xfId="530" xr:uid="{00000000-0005-0000-0000-000011020000}"/>
    <cellStyle name="40% - Акцент1 2 7" xfId="531" xr:uid="{00000000-0005-0000-0000-000012020000}"/>
    <cellStyle name="40% — акцент1 2 7" xfId="532" xr:uid="{00000000-0005-0000-0000-000013020000}"/>
    <cellStyle name="40% — акцент1 2 8" xfId="533" xr:uid="{00000000-0005-0000-0000-000014020000}"/>
    <cellStyle name="40% - Акцент1 3" xfId="534" xr:uid="{00000000-0005-0000-0000-000015020000}"/>
    <cellStyle name="40% — акцент1 3" xfId="535" xr:uid="{00000000-0005-0000-0000-000016020000}"/>
    <cellStyle name="40% - Акцент1 3 2" xfId="536" xr:uid="{00000000-0005-0000-0000-000017020000}"/>
    <cellStyle name="40% — акцент1 3 2" xfId="537" xr:uid="{00000000-0005-0000-0000-000018020000}"/>
    <cellStyle name="40% — акцент1 3 2 2" xfId="538" xr:uid="{00000000-0005-0000-0000-000019020000}"/>
    <cellStyle name="40% — акцент1 3 2 2 2" xfId="539" xr:uid="{00000000-0005-0000-0000-00001A020000}"/>
    <cellStyle name="40% — акцент1 3 2 3" xfId="540" xr:uid="{00000000-0005-0000-0000-00001B020000}"/>
    <cellStyle name="40% — акцент1 3 2 4" xfId="541" xr:uid="{00000000-0005-0000-0000-00001C020000}"/>
    <cellStyle name="40% - Акцент1 3 3" xfId="542" xr:uid="{00000000-0005-0000-0000-00001D020000}"/>
    <cellStyle name="40% — акцент1 3 3" xfId="543" xr:uid="{00000000-0005-0000-0000-00001E020000}"/>
    <cellStyle name="40% — акцент1 3 3 2" xfId="544" xr:uid="{00000000-0005-0000-0000-00001F020000}"/>
    <cellStyle name="40% — акцент1 3 3 3" xfId="545" xr:uid="{00000000-0005-0000-0000-000020020000}"/>
    <cellStyle name="40% - Акцент1 3 4" xfId="546" xr:uid="{00000000-0005-0000-0000-000021020000}"/>
    <cellStyle name="40% — акцент1 3 4" xfId="547" xr:uid="{00000000-0005-0000-0000-000022020000}"/>
    <cellStyle name="40% - Акцент1 3 5" xfId="548" xr:uid="{00000000-0005-0000-0000-000023020000}"/>
    <cellStyle name="40% — акцент1 3 5" xfId="549" xr:uid="{00000000-0005-0000-0000-000024020000}"/>
    <cellStyle name="40% - Акцент1 3 6" xfId="550" xr:uid="{00000000-0005-0000-0000-000025020000}"/>
    <cellStyle name="40% — акцент1 3 6" xfId="551" xr:uid="{00000000-0005-0000-0000-000026020000}"/>
    <cellStyle name="40% - Акцент1 3 7" xfId="552" xr:uid="{00000000-0005-0000-0000-000027020000}"/>
    <cellStyle name="40% — акцент1 3 7" xfId="553" xr:uid="{00000000-0005-0000-0000-000028020000}"/>
    <cellStyle name="40% — акцент1 3 8" xfId="554" xr:uid="{00000000-0005-0000-0000-000029020000}"/>
    <cellStyle name="40% - Акцент1 4" xfId="555" xr:uid="{00000000-0005-0000-0000-00002A020000}"/>
    <cellStyle name="40% — акцент1 4" xfId="556" xr:uid="{00000000-0005-0000-0000-00002B020000}"/>
    <cellStyle name="40% - Акцент1 4 2" xfId="557" xr:uid="{00000000-0005-0000-0000-00002C020000}"/>
    <cellStyle name="40% — акцент1 4 2" xfId="558" xr:uid="{00000000-0005-0000-0000-00002D020000}"/>
    <cellStyle name="40% — акцент1 4 2 2" xfId="559" xr:uid="{00000000-0005-0000-0000-00002E020000}"/>
    <cellStyle name="40% — акцент1 4 2 3" xfId="560" xr:uid="{00000000-0005-0000-0000-00002F020000}"/>
    <cellStyle name="40% — акцент1 4 3" xfId="561" xr:uid="{00000000-0005-0000-0000-000030020000}"/>
    <cellStyle name="40% — акцент1 4 4" xfId="562" xr:uid="{00000000-0005-0000-0000-000031020000}"/>
    <cellStyle name="40% — акцент1 4 5" xfId="563" xr:uid="{00000000-0005-0000-0000-000032020000}"/>
    <cellStyle name="40% — акцент1 4 6" xfId="564" xr:uid="{00000000-0005-0000-0000-000033020000}"/>
    <cellStyle name="40% — акцент1 4 7" xfId="565" xr:uid="{00000000-0005-0000-0000-000034020000}"/>
    <cellStyle name="40% - Акцент1 5" xfId="566" xr:uid="{00000000-0005-0000-0000-000035020000}"/>
    <cellStyle name="40% — акцент1 5" xfId="567" xr:uid="{00000000-0005-0000-0000-000036020000}"/>
    <cellStyle name="40% - Акцент1 5 2" xfId="568" xr:uid="{00000000-0005-0000-0000-000037020000}"/>
    <cellStyle name="40% — акцент1 5 2" xfId="569" xr:uid="{00000000-0005-0000-0000-000038020000}"/>
    <cellStyle name="40% — акцент1 5 2 2" xfId="570" xr:uid="{00000000-0005-0000-0000-000039020000}"/>
    <cellStyle name="40% — акцент1 5 3" xfId="571" xr:uid="{00000000-0005-0000-0000-00003A020000}"/>
    <cellStyle name="40% — акцент1 5 4" xfId="572" xr:uid="{00000000-0005-0000-0000-00003B020000}"/>
    <cellStyle name="40% — акцент1 5 5" xfId="573" xr:uid="{00000000-0005-0000-0000-00003C020000}"/>
    <cellStyle name="40% — акцент1 5 6" xfId="574" xr:uid="{00000000-0005-0000-0000-00003D020000}"/>
    <cellStyle name="40% - Акцент1 6" xfId="575" xr:uid="{00000000-0005-0000-0000-00003E020000}"/>
    <cellStyle name="40% — акцент1 6" xfId="576" xr:uid="{00000000-0005-0000-0000-00003F020000}"/>
    <cellStyle name="40% - Акцент1 6 2" xfId="577" xr:uid="{00000000-0005-0000-0000-000040020000}"/>
    <cellStyle name="40% — акцент1 6 2" xfId="578" xr:uid="{00000000-0005-0000-0000-000041020000}"/>
    <cellStyle name="40% — акцент1 6 3" xfId="579" xr:uid="{00000000-0005-0000-0000-000042020000}"/>
    <cellStyle name="40% — акцент1 6 4" xfId="580" xr:uid="{00000000-0005-0000-0000-000043020000}"/>
    <cellStyle name="40% — акцент1 6 5" xfId="581" xr:uid="{00000000-0005-0000-0000-000044020000}"/>
    <cellStyle name="40% - Акцент1 7" xfId="582" xr:uid="{00000000-0005-0000-0000-000045020000}"/>
    <cellStyle name="40% — акцент1 7" xfId="583" xr:uid="{00000000-0005-0000-0000-000046020000}"/>
    <cellStyle name="40% — акцент1 7 2" xfId="584" xr:uid="{00000000-0005-0000-0000-000047020000}"/>
    <cellStyle name="40% — акцент1 8" xfId="585" xr:uid="{00000000-0005-0000-0000-000048020000}"/>
    <cellStyle name="40% — акцент1 8 2" xfId="586" xr:uid="{00000000-0005-0000-0000-000049020000}"/>
    <cellStyle name="40% — акцент1 9" xfId="587" xr:uid="{00000000-0005-0000-0000-00004A020000}"/>
    <cellStyle name="40% — акцент1 9 2" xfId="588" xr:uid="{00000000-0005-0000-0000-00004B020000}"/>
    <cellStyle name="40% — акцент2" xfId="589" builtinId="35" customBuiltin="1"/>
    <cellStyle name="40% — акцент2 10" xfId="590" xr:uid="{00000000-0005-0000-0000-00004D020000}"/>
    <cellStyle name="40% — акцент2 10 2" xfId="591" xr:uid="{00000000-0005-0000-0000-00004E020000}"/>
    <cellStyle name="40% — акцент2 11" xfId="592" xr:uid="{00000000-0005-0000-0000-00004F020000}"/>
    <cellStyle name="40% — акцент2 12" xfId="593" xr:uid="{00000000-0005-0000-0000-000050020000}"/>
    <cellStyle name="40% — акцент2 13" xfId="594" xr:uid="{00000000-0005-0000-0000-000051020000}"/>
    <cellStyle name="40% — акцент2 14" xfId="595" xr:uid="{00000000-0005-0000-0000-000052020000}"/>
    <cellStyle name="40% — акцент2 15" xfId="596" xr:uid="{00000000-0005-0000-0000-000053020000}"/>
    <cellStyle name="40% - Акцент2 2" xfId="597" xr:uid="{00000000-0005-0000-0000-000054020000}"/>
    <cellStyle name="40% — акцент2 2" xfId="598" xr:uid="{00000000-0005-0000-0000-000055020000}"/>
    <cellStyle name="40% - Акцент2 2 2" xfId="599" xr:uid="{00000000-0005-0000-0000-000056020000}"/>
    <cellStyle name="40% — акцент2 2 2" xfId="600" xr:uid="{00000000-0005-0000-0000-000057020000}"/>
    <cellStyle name="40% — акцент2 2 2 2" xfId="601" xr:uid="{00000000-0005-0000-0000-000058020000}"/>
    <cellStyle name="40% — акцент2 2 2 2 2" xfId="602" xr:uid="{00000000-0005-0000-0000-000059020000}"/>
    <cellStyle name="40% — акцент2 2 2 3" xfId="603" xr:uid="{00000000-0005-0000-0000-00005A020000}"/>
    <cellStyle name="40% — акцент2 2 2 4" xfId="604" xr:uid="{00000000-0005-0000-0000-00005B020000}"/>
    <cellStyle name="40% - Акцент2 2 3" xfId="605" xr:uid="{00000000-0005-0000-0000-00005C020000}"/>
    <cellStyle name="40% — акцент2 2 3" xfId="606" xr:uid="{00000000-0005-0000-0000-00005D020000}"/>
    <cellStyle name="40% — акцент2 2 3 2" xfId="607" xr:uid="{00000000-0005-0000-0000-00005E020000}"/>
    <cellStyle name="40% — акцент2 2 3 3" xfId="608" xr:uid="{00000000-0005-0000-0000-00005F020000}"/>
    <cellStyle name="40% - Акцент2 2 4" xfId="609" xr:uid="{00000000-0005-0000-0000-000060020000}"/>
    <cellStyle name="40% — акцент2 2 4" xfId="610" xr:uid="{00000000-0005-0000-0000-000061020000}"/>
    <cellStyle name="40% - Акцент2 2 5" xfId="611" xr:uid="{00000000-0005-0000-0000-000062020000}"/>
    <cellStyle name="40% — акцент2 2 5" xfId="612" xr:uid="{00000000-0005-0000-0000-000063020000}"/>
    <cellStyle name="40% - Акцент2 2 6" xfId="613" xr:uid="{00000000-0005-0000-0000-000064020000}"/>
    <cellStyle name="40% — акцент2 2 6" xfId="614" xr:uid="{00000000-0005-0000-0000-000065020000}"/>
    <cellStyle name="40% - Акцент2 2 7" xfId="615" xr:uid="{00000000-0005-0000-0000-000066020000}"/>
    <cellStyle name="40% — акцент2 2 7" xfId="616" xr:uid="{00000000-0005-0000-0000-000067020000}"/>
    <cellStyle name="40% — акцент2 2 8" xfId="617" xr:uid="{00000000-0005-0000-0000-000068020000}"/>
    <cellStyle name="40% - Акцент2 3" xfId="618" xr:uid="{00000000-0005-0000-0000-000069020000}"/>
    <cellStyle name="40% — акцент2 3" xfId="619" xr:uid="{00000000-0005-0000-0000-00006A020000}"/>
    <cellStyle name="40% - Акцент2 3 2" xfId="620" xr:uid="{00000000-0005-0000-0000-00006B020000}"/>
    <cellStyle name="40% — акцент2 3 2" xfId="621" xr:uid="{00000000-0005-0000-0000-00006C020000}"/>
    <cellStyle name="40% — акцент2 3 2 2" xfId="622" xr:uid="{00000000-0005-0000-0000-00006D020000}"/>
    <cellStyle name="40% — акцент2 3 2 2 2" xfId="623" xr:uid="{00000000-0005-0000-0000-00006E020000}"/>
    <cellStyle name="40% — акцент2 3 2 3" xfId="624" xr:uid="{00000000-0005-0000-0000-00006F020000}"/>
    <cellStyle name="40% — акцент2 3 2 4" xfId="625" xr:uid="{00000000-0005-0000-0000-000070020000}"/>
    <cellStyle name="40% - Акцент2 3 3" xfId="626" xr:uid="{00000000-0005-0000-0000-000071020000}"/>
    <cellStyle name="40% — акцент2 3 3" xfId="627" xr:uid="{00000000-0005-0000-0000-000072020000}"/>
    <cellStyle name="40% — акцент2 3 3 2" xfId="628" xr:uid="{00000000-0005-0000-0000-000073020000}"/>
    <cellStyle name="40% — акцент2 3 3 3" xfId="629" xr:uid="{00000000-0005-0000-0000-000074020000}"/>
    <cellStyle name="40% - Акцент2 3 4" xfId="630" xr:uid="{00000000-0005-0000-0000-000075020000}"/>
    <cellStyle name="40% — акцент2 3 4" xfId="631" xr:uid="{00000000-0005-0000-0000-000076020000}"/>
    <cellStyle name="40% - Акцент2 3 5" xfId="632" xr:uid="{00000000-0005-0000-0000-000077020000}"/>
    <cellStyle name="40% — акцент2 3 5" xfId="633" xr:uid="{00000000-0005-0000-0000-000078020000}"/>
    <cellStyle name="40% - Акцент2 3 6" xfId="634" xr:uid="{00000000-0005-0000-0000-000079020000}"/>
    <cellStyle name="40% — акцент2 3 6" xfId="635" xr:uid="{00000000-0005-0000-0000-00007A020000}"/>
    <cellStyle name="40% - Акцент2 3 7" xfId="636" xr:uid="{00000000-0005-0000-0000-00007B020000}"/>
    <cellStyle name="40% — акцент2 3 7" xfId="637" xr:uid="{00000000-0005-0000-0000-00007C020000}"/>
    <cellStyle name="40% — акцент2 3 8" xfId="638" xr:uid="{00000000-0005-0000-0000-00007D020000}"/>
    <cellStyle name="40% - Акцент2 4" xfId="639" xr:uid="{00000000-0005-0000-0000-00007E020000}"/>
    <cellStyle name="40% — акцент2 4" xfId="640" xr:uid="{00000000-0005-0000-0000-00007F020000}"/>
    <cellStyle name="40% - Акцент2 4 2" xfId="641" xr:uid="{00000000-0005-0000-0000-000080020000}"/>
    <cellStyle name="40% — акцент2 4 2" xfId="642" xr:uid="{00000000-0005-0000-0000-000081020000}"/>
    <cellStyle name="40% — акцент2 4 2 2" xfId="643" xr:uid="{00000000-0005-0000-0000-000082020000}"/>
    <cellStyle name="40% — акцент2 4 2 3" xfId="644" xr:uid="{00000000-0005-0000-0000-000083020000}"/>
    <cellStyle name="40% — акцент2 4 3" xfId="645" xr:uid="{00000000-0005-0000-0000-000084020000}"/>
    <cellStyle name="40% — акцент2 4 4" xfId="646" xr:uid="{00000000-0005-0000-0000-000085020000}"/>
    <cellStyle name="40% — акцент2 4 5" xfId="647" xr:uid="{00000000-0005-0000-0000-000086020000}"/>
    <cellStyle name="40% — акцент2 4 6" xfId="648" xr:uid="{00000000-0005-0000-0000-000087020000}"/>
    <cellStyle name="40% — акцент2 4 7" xfId="649" xr:uid="{00000000-0005-0000-0000-000088020000}"/>
    <cellStyle name="40% - Акцент2 5" xfId="650" xr:uid="{00000000-0005-0000-0000-000089020000}"/>
    <cellStyle name="40% — акцент2 5" xfId="651" xr:uid="{00000000-0005-0000-0000-00008A020000}"/>
    <cellStyle name="40% - Акцент2 5 2" xfId="652" xr:uid="{00000000-0005-0000-0000-00008B020000}"/>
    <cellStyle name="40% — акцент2 5 2" xfId="653" xr:uid="{00000000-0005-0000-0000-00008C020000}"/>
    <cellStyle name="40% — акцент2 5 2 2" xfId="654" xr:uid="{00000000-0005-0000-0000-00008D020000}"/>
    <cellStyle name="40% — акцент2 5 3" xfId="655" xr:uid="{00000000-0005-0000-0000-00008E020000}"/>
    <cellStyle name="40% — акцент2 5 4" xfId="656" xr:uid="{00000000-0005-0000-0000-00008F020000}"/>
    <cellStyle name="40% — акцент2 5 5" xfId="657" xr:uid="{00000000-0005-0000-0000-000090020000}"/>
    <cellStyle name="40% — акцент2 5 6" xfId="658" xr:uid="{00000000-0005-0000-0000-000091020000}"/>
    <cellStyle name="40% - Акцент2 6" xfId="659" xr:uid="{00000000-0005-0000-0000-000092020000}"/>
    <cellStyle name="40% — акцент2 6" xfId="660" xr:uid="{00000000-0005-0000-0000-000093020000}"/>
    <cellStyle name="40% - Акцент2 6 2" xfId="661" xr:uid="{00000000-0005-0000-0000-000094020000}"/>
    <cellStyle name="40% — акцент2 6 2" xfId="662" xr:uid="{00000000-0005-0000-0000-000095020000}"/>
    <cellStyle name="40% — акцент2 6 3" xfId="663" xr:uid="{00000000-0005-0000-0000-000096020000}"/>
    <cellStyle name="40% — акцент2 6 4" xfId="664" xr:uid="{00000000-0005-0000-0000-000097020000}"/>
    <cellStyle name="40% — акцент2 6 5" xfId="665" xr:uid="{00000000-0005-0000-0000-000098020000}"/>
    <cellStyle name="40% - Акцент2 7" xfId="666" xr:uid="{00000000-0005-0000-0000-000099020000}"/>
    <cellStyle name="40% — акцент2 7" xfId="667" xr:uid="{00000000-0005-0000-0000-00009A020000}"/>
    <cellStyle name="40% — акцент2 7 2" xfId="668" xr:uid="{00000000-0005-0000-0000-00009B020000}"/>
    <cellStyle name="40% — акцент2 8" xfId="669" xr:uid="{00000000-0005-0000-0000-00009C020000}"/>
    <cellStyle name="40% — акцент2 8 2" xfId="670" xr:uid="{00000000-0005-0000-0000-00009D020000}"/>
    <cellStyle name="40% — акцент2 9" xfId="671" xr:uid="{00000000-0005-0000-0000-00009E020000}"/>
    <cellStyle name="40% — акцент2 9 2" xfId="672" xr:uid="{00000000-0005-0000-0000-00009F020000}"/>
    <cellStyle name="40% — акцент3" xfId="673" builtinId="39" customBuiltin="1"/>
    <cellStyle name="40% — акцент3 10" xfId="674" xr:uid="{00000000-0005-0000-0000-0000A1020000}"/>
    <cellStyle name="40% — акцент3 10 2" xfId="675" xr:uid="{00000000-0005-0000-0000-0000A2020000}"/>
    <cellStyle name="40% — акцент3 11" xfId="676" xr:uid="{00000000-0005-0000-0000-0000A3020000}"/>
    <cellStyle name="40% — акцент3 12" xfId="677" xr:uid="{00000000-0005-0000-0000-0000A4020000}"/>
    <cellStyle name="40% — акцент3 13" xfId="678" xr:uid="{00000000-0005-0000-0000-0000A5020000}"/>
    <cellStyle name="40% — акцент3 14" xfId="679" xr:uid="{00000000-0005-0000-0000-0000A6020000}"/>
    <cellStyle name="40% — акцент3 15" xfId="680" xr:uid="{00000000-0005-0000-0000-0000A7020000}"/>
    <cellStyle name="40% - Акцент3 2" xfId="681" xr:uid="{00000000-0005-0000-0000-0000A8020000}"/>
    <cellStyle name="40% — акцент3 2" xfId="682" xr:uid="{00000000-0005-0000-0000-0000A9020000}"/>
    <cellStyle name="40% - Акцент3 2 2" xfId="683" xr:uid="{00000000-0005-0000-0000-0000AA020000}"/>
    <cellStyle name="40% — акцент3 2 2" xfId="684" xr:uid="{00000000-0005-0000-0000-0000AB020000}"/>
    <cellStyle name="40% — акцент3 2 2 2" xfId="685" xr:uid="{00000000-0005-0000-0000-0000AC020000}"/>
    <cellStyle name="40% — акцент3 2 2 2 2" xfId="686" xr:uid="{00000000-0005-0000-0000-0000AD020000}"/>
    <cellStyle name="40% — акцент3 2 2 3" xfId="687" xr:uid="{00000000-0005-0000-0000-0000AE020000}"/>
    <cellStyle name="40% — акцент3 2 2 4" xfId="688" xr:uid="{00000000-0005-0000-0000-0000AF020000}"/>
    <cellStyle name="40% - Акцент3 2 3" xfId="689" xr:uid="{00000000-0005-0000-0000-0000B0020000}"/>
    <cellStyle name="40% — акцент3 2 3" xfId="690" xr:uid="{00000000-0005-0000-0000-0000B1020000}"/>
    <cellStyle name="40% — акцент3 2 3 2" xfId="691" xr:uid="{00000000-0005-0000-0000-0000B2020000}"/>
    <cellStyle name="40% — акцент3 2 3 3" xfId="692" xr:uid="{00000000-0005-0000-0000-0000B3020000}"/>
    <cellStyle name="40% - Акцент3 2 4" xfId="693" xr:uid="{00000000-0005-0000-0000-0000B4020000}"/>
    <cellStyle name="40% — акцент3 2 4" xfId="694" xr:uid="{00000000-0005-0000-0000-0000B5020000}"/>
    <cellStyle name="40% - Акцент3 2 5" xfId="695" xr:uid="{00000000-0005-0000-0000-0000B6020000}"/>
    <cellStyle name="40% — акцент3 2 5" xfId="696" xr:uid="{00000000-0005-0000-0000-0000B7020000}"/>
    <cellStyle name="40% - Акцент3 2 6" xfId="697" xr:uid="{00000000-0005-0000-0000-0000B8020000}"/>
    <cellStyle name="40% — акцент3 2 6" xfId="698" xr:uid="{00000000-0005-0000-0000-0000B9020000}"/>
    <cellStyle name="40% - Акцент3 2 7" xfId="699" xr:uid="{00000000-0005-0000-0000-0000BA020000}"/>
    <cellStyle name="40% — акцент3 2 7" xfId="700" xr:uid="{00000000-0005-0000-0000-0000BB020000}"/>
    <cellStyle name="40% — акцент3 2 8" xfId="701" xr:uid="{00000000-0005-0000-0000-0000BC020000}"/>
    <cellStyle name="40% - Акцент3 3" xfId="702" xr:uid="{00000000-0005-0000-0000-0000BD020000}"/>
    <cellStyle name="40% — акцент3 3" xfId="703" xr:uid="{00000000-0005-0000-0000-0000BE020000}"/>
    <cellStyle name="40% - Акцент3 3 2" xfId="704" xr:uid="{00000000-0005-0000-0000-0000BF020000}"/>
    <cellStyle name="40% — акцент3 3 2" xfId="705" xr:uid="{00000000-0005-0000-0000-0000C0020000}"/>
    <cellStyle name="40% — акцент3 3 2 2" xfId="706" xr:uid="{00000000-0005-0000-0000-0000C1020000}"/>
    <cellStyle name="40% — акцент3 3 2 2 2" xfId="707" xr:uid="{00000000-0005-0000-0000-0000C2020000}"/>
    <cellStyle name="40% — акцент3 3 2 3" xfId="708" xr:uid="{00000000-0005-0000-0000-0000C3020000}"/>
    <cellStyle name="40% — акцент3 3 2 4" xfId="709" xr:uid="{00000000-0005-0000-0000-0000C4020000}"/>
    <cellStyle name="40% - Акцент3 3 3" xfId="710" xr:uid="{00000000-0005-0000-0000-0000C5020000}"/>
    <cellStyle name="40% — акцент3 3 3" xfId="711" xr:uid="{00000000-0005-0000-0000-0000C6020000}"/>
    <cellStyle name="40% — акцент3 3 3 2" xfId="712" xr:uid="{00000000-0005-0000-0000-0000C7020000}"/>
    <cellStyle name="40% — акцент3 3 3 3" xfId="713" xr:uid="{00000000-0005-0000-0000-0000C8020000}"/>
    <cellStyle name="40% - Акцент3 3 4" xfId="714" xr:uid="{00000000-0005-0000-0000-0000C9020000}"/>
    <cellStyle name="40% — акцент3 3 4" xfId="715" xr:uid="{00000000-0005-0000-0000-0000CA020000}"/>
    <cellStyle name="40% - Акцент3 3 5" xfId="716" xr:uid="{00000000-0005-0000-0000-0000CB020000}"/>
    <cellStyle name="40% — акцент3 3 5" xfId="717" xr:uid="{00000000-0005-0000-0000-0000CC020000}"/>
    <cellStyle name="40% - Акцент3 3 6" xfId="718" xr:uid="{00000000-0005-0000-0000-0000CD020000}"/>
    <cellStyle name="40% — акцент3 3 6" xfId="719" xr:uid="{00000000-0005-0000-0000-0000CE020000}"/>
    <cellStyle name="40% - Акцент3 3 7" xfId="720" xr:uid="{00000000-0005-0000-0000-0000CF020000}"/>
    <cellStyle name="40% — акцент3 3 7" xfId="721" xr:uid="{00000000-0005-0000-0000-0000D0020000}"/>
    <cellStyle name="40% — акцент3 3 8" xfId="722" xr:uid="{00000000-0005-0000-0000-0000D1020000}"/>
    <cellStyle name="40% - Акцент3 4" xfId="723" xr:uid="{00000000-0005-0000-0000-0000D2020000}"/>
    <cellStyle name="40% — акцент3 4" xfId="724" xr:uid="{00000000-0005-0000-0000-0000D3020000}"/>
    <cellStyle name="40% - Акцент3 4 2" xfId="725" xr:uid="{00000000-0005-0000-0000-0000D4020000}"/>
    <cellStyle name="40% — акцент3 4 2" xfId="726" xr:uid="{00000000-0005-0000-0000-0000D5020000}"/>
    <cellStyle name="40% — акцент3 4 2 2" xfId="727" xr:uid="{00000000-0005-0000-0000-0000D6020000}"/>
    <cellStyle name="40% — акцент3 4 2 3" xfId="728" xr:uid="{00000000-0005-0000-0000-0000D7020000}"/>
    <cellStyle name="40% — акцент3 4 3" xfId="729" xr:uid="{00000000-0005-0000-0000-0000D8020000}"/>
    <cellStyle name="40% — акцент3 4 4" xfId="730" xr:uid="{00000000-0005-0000-0000-0000D9020000}"/>
    <cellStyle name="40% — акцент3 4 5" xfId="731" xr:uid="{00000000-0005-0000-0000-0000DA020000}"/>
    <cellStyle name="40% — акцент3 4 6" xfId="732" xr:uid="{00000000-0005-0000-0000-0000DB020000}"/>
    <cellStyle name="40% — акцент3 4 7" xfId="733" xr:uid="{00000000-0005-0000-0000-0000DC020000}"/>
    <cellStyle name="40% - Акцент3 5" xfId="734" xr:uid="{00000000-0005-0000-0000-0000DD020000}"/>
    <cellStyle name="40% — акцент3 5" xfId="735" xr:uid="{00000000-0005-0000-0000-0000DE020000}"/>
    <cellStyle name="40% - Акцент3 5 2" xfId="736" xr:uid="{00000000-0005-0000-0000-0000DF020000}"/>
    <cellStyle name="40% — акцент3 5 2" xfId="737" xr:uid="{00000000-0005-0000-0000-0000E0020000}"/>
    <cellStyle name="40% — акцент3 5 2 2" xfId="738" xr:uid="{00000000-0005-0000-0000-0000E1020000}"/>
    <cellStyle name="40% — акцент3 5 3" xfId="739" xr:uid="{00000000-0005-0000-0000-0000E2020000}"/>
    <cellStyle name="40% — акцент3 5 4" xfId="740" xr:uid="{00000000-0005-0000-0000-0000E3020000}"/>
    <cellStyle name="40% — акцент3 5 5" xfId="741" xr:uid="{00000000-0005-0000-0000-0000E4020000}"/>
    <cellStyle name="40% — акцент3 5 6" xfId="742" xr:uid="{00000000-0005-0000-0000-0000E5020000}"/>
    <cellStyle name="40% - Акцент3 6" xfId="743" xr:uid="{00000000-0005-0000-0000-0000E6020000}"/>
    <cellStyle name="40% — акцент3 6" xfId="744" xr:uid="{00000000-0005-0000-0000-0000E7020000}"/>
    <cellStyle name="40% - Акцент3 6 2" xfId="745" xr:uid="{00000000-0005-0000-0000-0000E8020000}"/>
    <cellStyle name="40% — акцент3 6 2" xfId="746" xr:uid="{00000000-0005-0000-0000-0000E9020000}"/>
    <cellStyle name="40% — акцент3 6 3" xfId="747" xr:uid="{00000000-0005-0000-0000-0000EA020000}"/>
    <cellStyle name="40% — акцент3 6 4" xfId="748" xr:uid="{00000000-0005-0000-0000-0000EB020000}"/>
    <cellStyle name="40% — акцент3 6 5" xfId="749" xr:uid="{00000000-0005-0000-0000-0000EC020000}"/>
    <cellStyle name="40% - Акцент3 7" xfId="750" xr:uid="{00000000-0005-0000-0000-0000ED020000}"/>
    <cellStyle name="40% — акцент3 7" xfId="751" xr:uid="{00000000-0005-0000-0000-0000EE020000}"/>
    <cellStyle name="40% — акцент3 7 2" xfId="752" xr:uid="{00000000-0005-0000-0000-0000EF020000}"/>
    <cellStyle name="40% — акцент3 8" xfId="753" xr:uid="{00000000-0005-0000-0000-0000F0020000}"/>
    <cellStyle name="40% — акцент3 8 2" xfId="754" xr:uid="{00000000-0005-0000-0000-0000F1020000}"/>
    <cellStyle name="40% — акцент3 9" xfId="755" xr:uid="{00000000-0005-0000-0000-0000F2020000}"/>
    <cellStyle name="40% — акцент3 9 2" xfId="756" xr:uid="{00000000-0005-0000-0000-0000F3020000}"/>
    <cellStyle name="40% — акцент4" xfId="757" builtinId="43" customBuiltin="1"/>
    <cellStyle name="40% — акцент4 10" xfId="758" xr:uid="{00000000-0005-0000-0000-0000F5020000}"/>
    <cellStyle name="40% — акцент4 10 2" xfId="759" xr:uid="{00000000-0005-0000-0000-0000F6020000}"/>
    <cellStyle name="40% — акцент4 11" xfId="760" xr:uid="{00000000-0005-0000-0000-0000F7020000}"/>
    <cellStyle name="40% — акцент4 12" xfId="761" xr:uid="{00000000-0005-0000-0000-0000F8020000}"/>
    <cellStyle name="40% — акцент4 13" xfId="762" xr:uid="{00000000-0005-0000-0000-0000F9020000}"/>
    <cellStyle name="40% — акцент4 14" xfId="763" xr:uid="{00000000-0005-0000-0000-0000FA020000}"/>
    <cellStyle name="40% — акцент4 15" xfId="764" xr:uid="{00000000-0005-0000-0000-0000FB020000}"/>
    <cellStyle name="40% - Акцент4 2" xfId="765" xr:uid="{00000000-0005-0000-0000-0000FC020000}"/>
    <cellStyle name="40% — акцент4 2" xfId="766" xr:uid="{00000000-0005-0000-0000-0000FD020000}"/>
    <cellStyle name="40% - Акцент4 2 2" xfId="767" xr:uid="{00000000-0005-0000-0000-0000FE020000}"/>
    <cellStyle name="40% — акцент4 2 2" xfId="768" xr:uid="{00000000-0005-0000-0000-0000FF020000}"/>
    <cellStyle name="40% — акцент4 2 2 2" xfId="769" xr:uid="{00000000-0005-0000-0000-000000030000}"/>
    <cellStyle name="40% — акцент4 2 2 2 2" xfId="770" xr:uid="{00000000-0005-0000-0000-000001030000}"/>
    <cellStyle name="40% — акцент4 2 2 3" xfId="771" xr:uid="{00000000-0005-0000-0000-000002030000}"/>
    <cellStyle name="40% — акцент4 2 2 4" xfId="772" xr:uid="{00000000-0005-0000-0000-000003030000}"/>
    <cellStyle name="40% - Акцент4 2 3" xfId="773" xr:uid="{00000000-0005-0000-0000-000004030000}"/>
    <cellStyle name="40% — акцент4 2 3" xfId="774" xr:uid="{00000000-0005-0000-0000-000005030000}"/>
    <cellStyle name="40% — акцент4 2 3 2" xfId="775" xr:uid="{00000000-0005-0000-0000-000006030000}"/>
    <cellStyle name="40% — акцент4 2 3 3" xfId="776" xr:uid="{00000000-0005-0000-0000-000007030000}"/>
    <cellStyle name="40% - Акцент4 2 4" xfId="777" xr:uid="{00000000-0005-0000-0000-000008030000}"/>
    <cellStyle name="40% — акцент4 2 4" xfId="778" xr:uid="{00000000-0005-0000-0000-000009030000}"/>
    <cellStyle name="40% - Акцент4 2 5" xfId="779" xr:uid="{00000000-0005-0000-0000-00000A030000}"/>
    <cellStyle name="40% — акцент4 2 5" xfId="780" xr:uid="{00000000-0005-0000-0000-00000B030000}"/>
    <cellStyle name="40% - Акцент4 2 6" xfId="781" xr:uid="{00000000-0005-0000-0000-00000C030000}"/>
    <cellStyle name="40% — акцент4 2 6" xfId="782" xr:uid="{00000000-0005-0000-0000-00000D030000}"/>
    <cellStyle name="40% - Акцент4 2 7" xfId="783" xr:uid="{00000000-0005-0000-0000-00000E030000}"/>
    <cellStyle name="40% — акцент4 2 7" xfId="784" xr:uid="{00000000-0005-0000-0000-00000F030000}"/>
    <cellStyle name="40% — акцент4 2 8" xfId="785" xr:uid="{00000000-0005-0000-0000-000010030000}"/>
    <cellStyle name="40% - Акцент4 3" xfId="786" xr:uid="{00000000-0005-0000-0000-000011030000}"/>
    <cellStyle name="40% — акцент4 3" xfId="787" xr:uid="{00000000-0005-0000-0000-000012030000}"/>
    <cellStyle name="40% - Акцент4 3 2" xfId="788" xr:uid="{00000000-0005-0000-0000-000013030000}"/>
    <cellStyle name="40% — акцент4 3 2" xfId="789" xr:uid="{00000000-0005-0000-0000-000014030000}"/>
    <cellStyle name="40% — акцент4 3 2 2" xfId="790" xr:uid="{00000000-0005-0000-0000-000015030000}"/>
    <cellStyle name="40% — акцент4 3 2 2 2" xfId="791" xr:uid="{00000000-0005-0000-0000-000016030000}"/>
    <cellStyle name="40% — акцент4 3 2 3" xfId="792" xr:uid="{00000000-0005-0000-0000-000017030000}"/>
    <cellStyle name="40% — акцент4 3 2 4" xfId="793" xr:uid="{00000000-0005-0000-0000-000018030000}"/>
    <cellStyle name="40% - Акцент4 3 3" xfId="794" xr:uid="{00000000-0005-0000-0000-000019030000}"/>
    <cellStyle name="40% — акцент4 3 3" xfId="795" xr:uid="{00000000-0005-0000-0000-00001A030000}"/>
    <cellStyle name="40% — акцент4 3 3 2" xfId="796" xr:uid="{00000000-0005-0000-0000-00001B030000}"/>
    <cellStyle name="40% — акцент4 3 3 3" xfId="797" xr:uid="{00000000-0005-0000-0000-00001C030000}"/>
    <cellStyle name="40% - Акцент4 3 4" xfId="798" xr:uid="{00000000-0005-0000-0000-00001D030000}"/>
    <cellStyle name="40% — акцент4 3 4" xfId="799" xr:uid="{00000000-0005-0000-0000-00001E030000}"/>
    <cellStyle name="40% - Акцент4 3 5" xfId="800" xr:uid="{00000000-0005-0000-0000-00001F030000}"/>
    <cellStyle name="40% — акцент4 3 5" xfId="801" xr:uid="{00000000-0005-0000-0000-000020030000}"/>
    <cellStyle name="40% - Акцент4 3 6" xfId="802" xr:uid="{00000000-0005-0000-0000-000021030000}"/>
    <cellStyle name="40% — акцент4 3 6" xfId="803" xr:uid="{00000000-0005-0000-0000-000022030000}"/>
    <cellStyle name="40% - Акцент4 3 7" xfId="804" xr:uid="{00000000-0005-0000-0000-000023030000}"/>
    <cellStyle name="40% — акцент4 3 7" xfId="805" xr:uid="{00000000-0005-0000-0000-000024030000}"/>
    <cellStyle name="40% — акцент4 3 8" xfId="806" xr:uid="{00000000-0005-0000-0000-000025030000}"/>
    <cellStyle name="40% - Акцент4 4" xfId="807" xr:uid="{00000000-0005-0000-0000-000026030000}"/>
    <cellStyle name="40% — акцент4 4" xfId="808" xr:uid="{00000000-0005-0000-0000-000027030000}"/>
    <cellStyle name="40% - Акцент4 4 2" xfId="809" xr:uid="{00000000-0005-0000-0000-000028030000}"/>
    <cellStyle name="40% — акцент4 4 2" xfId="810" xr:uid="{00000000-0005-0000-0000-000029030000}"/>
    <cellStyle name="40% — акцент4 4 2 2" xfId="811" xr:uid="{00000000-0005-0000-0000-00002A030000}"/>
    <cellStyle name="40% — акцент4 4 2 3" xfId="812" xr:uid="{00000000-0005-0000-0000-00002B030000}"/>
    <cellStyle name="40% — акцент4 4 3" xfId="813" xr:uid="{00000000-0005-0000-0000-00002C030000}"/>
    <cellStyle name="40% — акцент4 4 4" xfId="814" xr:uid="{00000000-0005-0000-0000-00002D030000}"/>
    <cellStyle name="40% — акцент4 4 5" xfId="815" xr:uid="{00000000-0005-0000-0000-00002E030000}"/>
    <cellStyle name="40% — акцент4 4 6" xfId="816" xr:uid="{00000000-0005-0000-0000-00002F030000}"/>
    <cellStyle name="40% — акцент4 4 7" xfId="817" xr:uid="{00000000-0005-0000-0000-000030030000}"/>
    <cellStyle name="40% - Акцент4 5" xfId="818" xr:uid="{00000000-0005-0000-0000-000031030000}"/>
    <cellStyle name="40% — акцент4 5" xfId="819" xr:uid="{00000000-0005-0000-0000-000032030000}"/>
    <cellStyle name="40% - Акцент4 5 2" xfId="820" xr:uid="{00000000-0005-0000-0000-000033030000}"/>
    <cellStyle name="40% — акцент4 5 2" xfId="821" xr:uid="{00000000-0005-0000-0000-000034030000}"/>
    <cellStyle name="40% — акцент4 5 2 2" xfId="822" xr:uid="{00000000-0005-0000-0000-000035030000}"/>
    <cellStyle name="40% — акцент4 5 3" xfId="823" xr:uid="{00000000-0005-0000-0000-000036030000}"/>
    <cellStyle name="40% — акцент4 5 4" xfId="824" xr:uid="{00000000-0005-0000-0000-000037030000}"/>
    <cellStyle name="40% — акцент4 5 5" xfId="825" xr:uid="{00000000-0005-0000-0000-000038030000}"/>
    <cellStyle name="40% — акцент4 5 6" xfId="826" xr:uid="{00000000-0005-0000-0000-000039030000}"/>
    <cellStyle name="40% - Акцент4 6" xfId="827" xr:uid="{00000000-0005-0000-0000-00003A030000}"/>
    <cellStyle name="40% — акцент4 6" xfId="828" xr:uid="{00000000-0005-0000-0000-00003B030000}"/>
    <cellStyle name="40% - Акцент4 6 2" xfId="829" xr:uid="{00000000-0005-0000-0000-00003C030000}"/>
    <cellStyle name="40% — акцент4 6 2" xfId="830" xr:uid="{00000000-0005-0000-0000-00003D030000}"/>
    <cellStyle name="40% — акцент4 6 3" xfId="831" xr:uid="{00000000-0005-0000-0000-00003E030000}"/>
    <cellStyle name="40% — акцент4 6 4" xfId="832" xr:uid="{00000000-0005-0000-0000-00003F030000}"/>
    <cellStyle name="40% — акцент4 6 5" xfId="833" xr:uid="{00000000-0005-0000-0000-000040030000}"/>
    <cellStyle name="40% - Акцент4 7" xfId="834" xr:uid="{00000000-0005-0000-0000-000041030000}"/>
    <cellStyle name="40% — акцент4 7" xfId="835" xr:uid="{00000000-0005-0000-0000-000042030000}"/>
    <cellStyle name="40% — акцент4 7 2" xfId="836" xr:uid="{00000000-0005-0000-0000-000043030000}"/>
    <cellStyle name="40% — акцент4 8" xfId="837" xr:uid="{00000000-0005-0000-0000-000044030000}"/>
    <cellStyle name="40% — акцент4 8 2" xfId="838" xr:uid="{00000000-0005-0000-0000-000045030000}"/>
    <cellStyle name="40% — акцент4 9" xfId="839" xr:uid="{00000000-0005-0000-0000-000046030000}"/>
    <cellStyle name="40% — акцент4 9 2" xfId="840" xr:uid="{00000000-0005-0000-0000-000047030000}"/>
    <cellStyle name="40% — акцент5" xfId="841" builtinId="47" customBuiltin="1"/>
    <cellStyle name="40% — акцент5 10" xfId="842" xr:uid="{00000000-0005-0000-0000-000049030000}"/>
    <cellStyle name="40% — акцент5 10 2" xfId="843" xr:uid="{00000000-0005-0000-0000-00004A030000}"/>
    <cellStyle name="40% — акцент5 11" xfId="844" xr:uid="{00000000-0005-0000-0000-00004B030000}"/>
    <cellStyle name="40% — акцент5 12" xfId="845" xr:uid="{00000000-0005-0000-0000-00004C030000}"/>
    <cellStyle name="40% — акцент5 13" xfId="846" xr:uid="{00000000-0005-0000-0000-00004D030000}"/>
    <cellStyle name="40% — акцент5 14" xfId="847" xr:uid="{00000000-0005-0000-0000-00004E030000}"/>
    <cellStyle name="40% — акцент5 15" xfId="848" xr:uid="{00000000-0005-0000-0000-00004F030000}"/>
    <cellStyle name="40% - Акцент5 2" xfId="849" xr:uid="{00000000-0005-0000-0000-000050030000}"/>
    <cellStyle name="40% — акцент5 2" xfId="850" xr:uid="{00000000-0005-0000-0000-000051030000}"/>
    <cellStyle name="40% - Акцент5 2 2" xfId="851" xr:uid="{00000000-0005-0000-0000-000052030000}"/>
    <cellStyle name="40% — акцент5 2 2" xfId="852" xr:uid="{00000000-0005-0000-0000-000053030000}"/>
    <cellStyle name="40% — акцент5 2 2 2" xfId="853" xr:uid="{00000000-0005-0000-0000-000054030000}"/>
    <cellStyle name="40% — акцент5 2 2 2 2" xfId="854" xr:uid="{00000000-0005-0000-0000-000055030000}"/>
    <cellStyle name="40% — акцент5 2 2 3" xfId="855" xr:uid="{00000000-0005-0000-0000-000056030000}"/>
    <cellStyle name="40% — акцент5 2 2 4" xfId="856" xr:uid="{00000000-0005-0000-0000-000057030000}"/>
    <cellStyle name="40% - Акцент5 2 3" xfId="857" xr:uid="{00000000-0005-0000-0000-000058030000}"/>
    <cellStyle name="40% — акцент5 2 3" xfId="858" xr:uid="{00000000-0005-0000-0000-000059030000}"/>
    <cellStyle name="40% — акцент5 2 3 2" xfId="859" xr:uid="{00000000-0005-0000-0000-00005A030000}"/>
    <cellStyle name="40% — акцент5 2 3 3" xfId="860" xr:uid="{00000000-0005-0000-0000-00005B030000}"/>
    <cellStyle name="40% - Акцент5 2 4" xfId="861" xr:uid="{00000000-0005-0000-0000-00005C030000}"/>
    <cellStyle name="40% — акцент5 2 4" xfId="862" xr:uid="{00000000-0005-0000-0000-00005D030000}"/>
    <cellStyle name="40% - Акцент5 2 5" xfId="863" xr:uid="{00000000-0005-0000-0000-00005E030000}"/>
    <cellStyle name="40% — акцент5 2 5" xfId="864" xr:uid="{00000000-0005-0000-0000-00005F030000}"/>
    <cellStyle name="40% - Акцент5 2 6" xfId="865" xr:uid="{00000000-0005-0000-0000-000060030000}"/>
    <cellStyle name="40% — акцент5 2 6" xfId="866" xr:uid="{00000000-0005-0000-0000-000061030000}"/>
    <cellStyle name="40% - Акцент5 2 7" xfId="867" xr:uid="{00000000-0005-0000-0000-000062030000}"/>
    <cellStyle name="40% — акцент5 2 7" xfId="868" xr:uid="{00000000-0005-0000-0000-000063030000}"/>
    <cellStyle name="40% — акцент5 2 8" xfId="869" xr:uid="{00000000-0005-0000-0000-000064030000}"/>
    <cellStyle name="40% - Акцент5 3" xfId="870" xr:uid="{00000000-0005-0000-0000-000065030000}"/>
    <cellStyle name="40% — акцент5 3" xfId="871" xr:uid="{00000000-0005-0000-0000-000066030000}"/>
    <cellStyle name="40% - Акцент5 3 2" xfId="872" xr:uid="{00000000-0005-0000-0000-000067030000}"/>
    <cellStyle name="40% — акцент5 3 2" xfId="873" xr:uid="{00000000-0005-0000-0000-000068030000}"/>
    <cellStyle name="40% — акцент5 3 2 2" xfId="874" xr:uid="{00000000-0005-0000-0000-000069030000}"/>
    <cellStyle name="40% — акцент5 3 2 2 2" xfId="875" xr:uid="{00000000-0005-0000-0000-00006A030000}"/>
    <cellStyle name="40% — акцент5 3 2 3" xfId="876" xr:uid="{00000000-0005-0000-0000-00006B030000}"/>
    <cellStyle name="40% — акцент5 3 2 4" xfId="877" xr:uid="{00000000-0005-0000-0000-00006C030000}"/>
    <cellStyle name="40% - Акцент5 3 3" xfId="878" xr:uid="{00000000-0005-0000-0000-00006D030000}"/>
    <cellStyle name="40% — акцент5 3 3" xfId="879" xr:uid="{00000000-0005-0000-0000-00006E030000}"/>
    <cellStyle name="40% — акцент5 3 3 2" xfId="880" xr:uid="{00000000-0005-0000-0000-00006F030000}"/>
    <cellStyle name="40% — акцент5 3 3 3" xfId="881" xr:uid="{00000000-0005-0000-0000-000070030000}"/>
    <cellStyle name="40% - Акцент5 3 4" xfId="882" xr:uid="{00000000-0005-0000-0000-000071030000}"/>
    <cellStyle name="40% — акцент5 3 4" xfId="883" xr:uid="{00000000-0005-0000-0000-000072030000}"/>
    <cellStyle name="40% - Акцент5 3 5" xfId="884" xr:uid="{00000000-0005-0000-0000-000073030000}"/>
    <cellStyle name="40% — акцент5 3 5" xfId="885" xr:uid="{00000000-0005-0000-0000-000074030000}"/>
    <cellStyle name="40% - Акцент5 3 6" xfId="886" xr:uid="{00000000-0005-0000-0000-000075030000}"/>
    <cellStyle name="40% — акцент5 3 6" xfId="887" xr:uid="{00000000-0005-0000-0000-000076030000}"/>
    <cellStyle name="40% - Акцент5 3 7" xfId="888" xr:uid="{00000000-0005-0000-0000-000077030000}"/>
    <cellStyle name="40% — акцент5 3 7" xfId="889" xr:uid="{00000000-0005-0000-0000-000078030000}"/>
    <cellStyle name="40% — акцент5 3 8" xfId="890" xr:uid="{00000000-0005-0000-0000-000079030000}"/>
    <cellStyle name="40% - Акцент5 4" xfId="891" xr:uid="{00000000-0005-0000-0000-00007A030000}"/>
    <cellStyle name="40% — акцент5 4" xfId="892" xr:uid="{00000000-0005-0000-0000-00007B030000}"/>
    <cellStyle name="40% - Акцент5 4 2" xfId="893" xr:uid="{00000000-0005-0000-0000-00007C030000}"/>
    <cellStyle name="40% — акцент5 4 2" xfId="894" xr:uid="{00000000-0005-0000-0000-00007D030000}"/>
    <cellStyle name="40% — акцент5 4 2 2" xfId="895" xr:uid="{00000000-0005-0000-0000-00007E030000}"/>
    <cellStyle name="40% — акцент5 4 2 3" xfId="896" xr:uid="{00000000-0005-0000-0000-00007F030000}"/>
    <cellStyle name="40% — акцент5 4 3" xfId="897" xr:uid="{00000000-0005-0000-0000-000080030000}"/>
    <cellStyle name="40% — акцент5 4 4" xfId="898" xr:uid="{00000000-0005-0000-0000-000081030000}"/>
    <cellStyle name="40% — акцент5 4 5" xfId="899" xr:uid="{00000000-0005-0000-0000-000082030000}"/>
    <cellStyle name="40% — акцент5 4 6" xfId="900" xr:uid="{00000000-0005-0000-0000-000083030000}"/>
    <cellStyle name="40% — акцент5 4 7" xfId="901" xr:uid="{00000000-0005-0000-0000-000084030000}"/>
    <cellStyle name="40% - Акцент5 5" xfId="902" xr:uid="{00000000-0005-0000-0000-000085030000}"/>
    <cellStyle name="40% — акцент5 5" xfId="903" xr:uid="{00000000-0005-0000-0000-000086030000}"/>
    <cellStyle name="40% - Акцент5 5 2" xfId="904" xr:uid="{00000000-0005-0000-0000-000087030000}"/>
    <cellStyle name="40% — акцент5 5 2" xfId="905" xr:uid="{00000000-0005-0000-0000-000088030000}"/>
    <cellStyle name="40% — акцент5 5 2 2" xfId="906" xr:uid="{00000000-0005-0000-0000-000089030000}"/>
    <cellStyle name="40% — акцент5 5 3" xfId="907" xr:uid="{00000000-0005-0000-0000-00008A030000}"/>
    <cellStyle name="40% — акцент5 5 4" xfId="908" xr:uid="{00000000-0005-0000-0000-00008B030000}"/>
    <cellStyle name="40% — акцент5 5 5" xfId="909" xr:uid="{00000000-0005-0000-0000-00008C030000}"/>
    <cellStyle name="40% — акцент5 5 6" xfId="910" xr:uid="{00000000-0005-0000-0000-00008D030000}"/>
    <cellStyle name="40% - Акцент5 6" xfId="911" xr:uid="{00000000-0005-0000-0000-00008E030000}"/>
    <cellStyle name="40% — акцент5 6" xfId="912" xr:uid="{00000000-0005-0000-0000-00008F030000}"/>
    <cellStyle name="40% - Акцент5 6 2" xfId="913" xr:uid="{00000000-0005-0000-0000-000090030000}"/>
    <cellStyle name="40% — акцент5 6 2" xfId="914" xr:uid="{00000000-0005-0000-0000-000091030000}"/>
    <cellStyle name="40% — акцент5 6 3" xfId="915" xr:uid="{00000000-0005-0000-0000-000092030000}"/>
    <cellStyle name="40% — акцент5 6 4" xfId="916" xr:uid="{00000000-0005-0000-0000-000093030000}"/>
    <cellStyle name="40% — акцент5 6 5" xfId="917" xr:uid="{00000000-0005-0000-0000-000094030000}"/>
    <cellStyle name="40% - Акцент5 7" xfId="918" xr:uid="{00000000-0005-0000-0000-000095030000}"/>
    <cellStyle name="40% — акцент5 7" xfId="919" xr:uid="{00000000-0005-0000-0000-000096030000}"/>
    <cellStyle name="40% — акцент5 7 2" xfId="920" xr:uid="{00000000-0005-0000-0000-000097030000}"/>
    <cellStyle name="40% — акцент5 8" xfId="921" xr:uid="{00000000-0005-0000-0000-000098030000}"/>
    <cellStyle name="40% — акцент5 8 2" xfId="922" xr:uid="{00000000-0005-0000-0000-000099030000}"/>
    <cellStyle name="40% — акцент5 9" xfId="923" xr:uid="{00000000-0005-0000-0000-00009A030000}"/>
    <cellStyle name="40% — акцент5 9 2" xfId="924" xr:uid="{00000000-0005-0000-0000-00009B030000}"/>
    <cellStyle name="40% — акцент6" xfId="925" builtinId="51" customBuiltin="1"/>
    <cellStyle name="40% — акцент6 10" xfId="926" xr:uid="{00000000-0005-0000-0000-00009D030000}"/>
    <cellStyle name="40% — акцент6 10 2" xfId="927" xr:uid="{00000000-0005-0000-0000-00009E030000}"/>
    <cellStyle name="40% — акцент6 11" xfId="928" xr:uid="{00000000-0005-0000-0000-00009F030000}"/>
    <cellStyle name="40% — акцент6 12" xfId="929" xr:uid="{00000000-0005-0000-0000-0000A0030000}"/>
    <cellStyle name="40% — акцент6 13" xfId="930" xr:uid="{00000000-0005-0000-0000-0000A1030000}"/>
    <cellStyle name="40% — акцент6 14" xfId="931" xr:uid="{00000000-0005-0000-0000-0000A2030000}"/>
    <cellStyle name="40% — акцент6 15" xfId="932" xr:uid="{00000000-0005-0000-0000-0000A3030000}"/>
    <cellStyle name="40% - Акцент6 2" xfId="933" xr:uid="{00000000-0005-0000-0000-0000A4030000}"/>
    <cellStyle name="40% — акцент6 2" xfId="934" xr:uid="{00000000-0005-0000-0000-0000A5030000}"/>
    <cellStyle name="40% - Акцент6 2 2" xfId="935" xr:uid="{00000000-0005-0000-0000-0000A6030000}"/>
    <cellStyle name="40% — акцент6 2 2" xfId="936" xr:uid="{00000000-0005-0000-0000-0000A7030000}"/>
    <cellStyle name="40% — акцент6 2 2 2" xfId="937" xr:uid="{00000000-0005-0000-0000-0000A8030000}"/>
    <cellStyle name="40% — акцент6 2 2 2 2" xfId="938" xr:uid="{00000000-0005-0000-0000-0000A9030000}"/>
    <cellStyle name="40% — акцент6 2 2 3" xfId="939" xr:uid="{00000000-0005-0000-0000-0000AA030000}"/>
    <cellStyle name="40% — акцент6 2 2 4" xfId="940" xr:uid="{00000000-0005-0000-0000-0000AB030000}"/>
    <cellStyle name="40% - Акцент6 2 3" xfId="941" xr:uid="{00000000-0005-0000-0000-0000AC030000}"/>
    <cellStyle name="40% — акцент6 2 3" xfId="942" xr:uid="{00000000-0005-0000-0000-0000AD030000}"/>
    <cellStyle name="40% — акцент6 2 3 2" xfId="943" xr:uid="{00000000-0005-0000-0000-0000AE030000}"/>
    <cellStyle name="40% — акцент6 2 3 3" xfId="944" xr:uid="{00000000-0005-0000-0000-0000AF030000}"/>
    <cellStyle name="40% - Акцент6 2 4" xfId="945" xr:uid="{00000000-0005-0000-0000-0000B0030000}"/>
    <cellStyle name="40% — акцент6 2 4" xfId="946" xr:uid="{00000000-0005-0000-0000-0000B1030000}"/>
    <cellStyle name="40% - Акцент6 2 5" xfId="947" xr:uid="{00000000-0005-0000-0000-0000B2030000}"/>
    <cellStyle name="40% — акцент6 2 5" xfId="948" xr:uid="{00000000-0005-0000-0000-0000B3030000}"/>
    <cellStyle name="40% - Акцент6 2 6" xfId="949" xr:uid="{00000000-0005-0000-0000-0000B4030000}"/>
    <cellStyle name="40% — акцент6 2 6" xfId="950" xr:uid="{00000000-0005-0000-0000-0000B5030000}"/>
    <cellStyle name="40% - Акцент6 2 7" xfId="951" xr:uid="{00000000-0005-0000-0000-0000B6030000}"/>
    <cellStyle name="40% — акцент6 2 7" xfId="952" xr:uid="{00000000-0005-0000-0000-0000B7030000}"/>
    <cellStyle name="40% — акцент6 2 8" xfId="953" xr:uid="{00000000-0005-0000-0000-0000B8030000}"/>
    <cellStyle name="40% - Акцент6 3" xfId="954" xr:uid="{00000000-0005-0000-0000-0000B9030000}"/>
    <cellStyle name="40% — акцент6 3" xfId="955" xr:uid="{00000000-0005-0000-0000-0000BA030000}"/>
    <cellStyle name="40% - Акцент6 3 2" xfId="956" xr:uid="{00000000-0005-0000-0000-0000BB030000}"/>
    <cellStyle name="40% — акцент6 3 2" xfId="957" xr:uid="{00000000-0005-0000-0000-0000BC030000}"/>
    <cellStyle name="40% — акцент6 3 2 2" xfId="958" xr:uid="{00000000-0005-0000-0000-0000BD030000}"/>
    <cellStyle name="40% — акцент6 3 2 2 2" xfId="959" xr:uid="{00000000-0005-0000-0000-0000BE030000}"/>
    <cellStyle name="40% — акцент6 3 2 3" xfId="960" xr:uid="{00000000-0005-0000-0000-0000BF030000}"/>
    <cellStyle name="40% — акцент6 3 2 4" xfId="961" xr:uid="{00000000-0005-0000-0000-0000C0030000}"/>
    <cellStyle name="40% - Акцент6 3 3" xfId="962" xr:uid="{00000000-0005-0000-0000-0000C1030000}"/>
    <cellStyle name="40% — акцент6 3 3" xfId="963" xr:uid="{00000000-0005-0000-0000-0000C2030000}"/>
    <cellStyle name="40% — акцент6 3 3 2" xfId="964" xr:uid="{00000000-0005-0000-0000-0000C3030000}"/>
    <cellStyle name="40% — акцент6 3 3 3" xfId="965" xr:uid="{00000000-0005-0000-0000-0000C4030000}"/>
    <cellStyle name="40% - Акцент6 3 4" xfId="966" xr:uid="{00000000-0005-0000-0000-0000C5030000}"/>
    <cellStyle name="40% — акцент6 3 4" xfId="967" xr:uid="{00000000-0005-0000-0000-0000C6030000}"/>
    <cellStyle name="40% - Акцент6 3 5" xfId="968" xr:uid="{00000000-0005-0000-0000-0000C7030000}"/>
    <cellStyle name="40% — акцент6 3 5" xfId="969" xr:uid="{00000000-0005-0000-0000-0000C8030000}"/>
    <cellStyle name="40% - Акцент6 3 6" xfId="970" xr:uid="{00000000-0005-0000-0000-0000C9030000}"/>
    <cellStyle name="40% — акцент6 3 6" xfId="971" xr:uid="{00000000-0005-0000-0000-0000CA030000}"/>
    <cellStyle name="40% - Акцент6 3 7" xfId="972" xr:uid="{00000000-0005-0000-0000-0000CB030000}"/>
    <cellStyle name="40% — акцент6 3 7" xfId="973" xr:uid="{00000000-0005-0000-0000-0000CC030000}"/>
    <cellStyle name="40% — акцент6 3 8" xfId="974" xr:uid="{00000000-0005-0000-0000-0000CD030000}"/>
    <cellStyle name="40% - Акцент6 4" xfId="975" xr:uid="{00000000-0005-0000-0000-0000CE030000}"/>
    <cellStyle name="40% — акцент6 4" xfId="976" xr:uid="{00000000-0005-0000-0000-0000CF030000}"/>
    <cellStyle name="40% - Акцент6 4 2" xfId="977" xr:uid="{00000000-0005-0000-0000-0000D0030000}"/>
    <cellStyle name="40% — акцент6 4 2" xfId="978" xr:uid="{00000000-0005-0000-0000-0000D1030000}"/>
    <cellStyle name="40% — акцент6 4 2 2" xfId="979" xr:uid="{00000000-0005-0000-0000-0000D2030000}"/>
    <cellStyle name="40% — акцент6 4 2 3" xfId="980" xr:uid="{00000000-0005-0000-0000-0000D3030000}"/>
    <cellStyle name="40% — акцент6 4 3" xfId="981" xr:uid="{00000000-0005-0000-0000-0000D4030000}"/>
    <cellStyle name="40% — акцент6 4 4" xfId="982" xr:uid="{00000000-0005-0000-0000-0000D5030000}"/>
    <cellStyle name="40% — акцент6 4 5" xfId="983" xr:uid="{00000000-0005-0000-0000-0000D6030000}"/>
    <cellStyle name="40% — акцент6 4 6" xfId="984" xr:uid="{00000000-0005-0000-0000-0000D7030000}"/>
    <cellStyle name="40% — акцент6 4 7" xfId="985" xr:uid="{00000000-0005-0000-0000-0000D8030000}"/>
    <cellStyle name="40% - Акцент6 5" xfId="986" xr:uid="{00000000-0005-0000-0000-0000D9030000}"/>
    <cellStyle name="40% — акцент6 5" xfId="987" xr:uid="{00000000-0005-0000-0000-0000DA030000}"/>
    <cellStyle name="40% - Акцент6 5 2" xfId="988" xr:uid="{00000000-0005-0000-0000-0000DB030000}"/>
    <cellStyle name="40% — акцент6 5 2" xfId="989" xr:uid="{00000000-0005-0000-0000-0000DC030000}"/>
    <cellStyle name="40% — акцент6 5 2 2" xfId="990" xr:uid="{00000000-0005-0000-0000-0000DD030000}"/>
    <cellStyle name="40% — акцент6 5 3" xfId="991" xr:uid="{00000000-0005-0000-0000-0000DE030000}"/>
    <cellStyle name="40% — акцент6 5 4" xfId="992" xr:uid="{00000000-0005-0000-0000-0000DF030000}"/>
    <cellStyle name="40% — акцент6 5 5" xfId="993" xr:uid="{00000000-0005-0000-0000-0000E0030000}"/>
    <cellStyle name="40% — акцент6 5 6" xfId="994" xr:uid="{00000000-0005-0000-0000-0000E1030000}"/>
    <cellStyle name="40% - Акцент6 6" xfId="995" xr:uid="{00000000-0005-0000-0000-0000E2030000}"/>
    <cellStyle name="40% — акцент6 6" xfId="996" xr:uid="{00000000-0005-0000-0000-0000E3030000}"/>
    <cellStyle name="40% - Акцент6 6 2" xfId="997" xr:uid="{00000000-0005-0000-0000-0000E4030000}"/>
    <cellStyle name="40% — акцент6 6 2" xfId="998" xr:uid="{00000000-0005-0000-0000-0000E5030000}"/>
    <cellStyle name="40% — акцент6 6 3" xfId="999" xr:uid="{00000000-0005-0000-0000-0000E6030000}"/>
    <cellStyle name="40% — акцент6 6 4" xfId="1000" xr:uid="{00000000-0005-0000-0000-0000E7030000}"/>
    <cellStyle name="40% — акцент6 6 5" xfId="1001" xr:uid="{00000000-0005-0000-0000-0000E8030000}"/>
    <cellStyle name="40% - Акцент6 7" xfId="1002" xr:uid="{00000000-0005-0000-0000-0000E9030000}"/>
    <cellStyle name="40% — акцент6 7" xfId="1003" xr:uid="{00000000-0005-0000-0000-0000EA030000}"/>
    <cellStyle name="40% — акцент6 7 2" xfId="1004" xr:uid="{00000000-0005-0000-0000-0000EB030000}"/>
    <cellStyle name="40% — акцент6 8" xfId="1005" xr:uid="{00000000-0005-0000-0000-0000EC030000}"/>
    <cellStyle name="40% — акцент6 8 2" xfId="1006" xr:uid="{00000000-0005-0000-0000-0000ED030000}"/>
    <cellStyle name="40% — акцент6 9" xfId="1007" xr:uid="{00000000-0005-0000-0000-0000EE030000}"/>
    <cellStyle name="40% — акцент6 9 2" xfId="1008" xr:uid="{00000000-0005-0000-0000-0000EF030000}"/>
    <cellStyle name="60% — акцент1" xfId="1009" builtinId="32" customBuiltin="1"/>
    <cellStyle name="60% - Акцент1 2" xfId="1010" xr:uid="{00000000-0005-0000-0000-0000F1030000}"/>
    <cellStyle name="60% — акцент1 2" xfId="1011" xr:uid="{00000000-0005-0000-0000-0000F2030000}"/>
    <cellStyle name="60% — акцент1 2 2" xfId="1012" xr:uid="{00000000-0005-0000-0000-0000F3030000}"/>
    <cellStyle name="60% — акцент1 2 2 2" xfId="1013" xr:uid="{00000000-0005-0000-0000-0000F4030000}"/>
    <cellStyle name="60% — акцент1 2 2 2 2" xfId="1014" xr:uid="{00000000-0005-0000-0000-0000F5030000}"/>
    <cellStyle name="60% — акцент1 2 2 3" xfId="1015" xr:uid="{00000000-0005-0000-0000-0000F6030000}"/>
    <cellStyle name="60% — акцент1 2 2 4" xfId="1016" xr:uid="{00000000-0005-0000-0000-0000F7030000}"/>
    <cellStyle name="60% — акцент1 2 3" xfId="1017" xr:uid="{00000000-0005-0000-0000-0000F8030000}"/>
    <cellStyle name="60% — акцент1 2 3 2" xfId="1018" xr:uid="{00000000-0005-0000-0000-0000F9030000}"/>
    <cellStyle name="60% — акцент1 2 3 3" xfId="1019" xr:uid="{00000000-0005-0000-0000-0000FA030000}"/>
    <cellStyle name="60% — акцент1 2 4" xfId="1020" xr:uid="{00000000-0005-0000-0000-0000FB030000}"/>
    <cellStyle name="60% — акцент1 2 5" xfId="1021" xr:uid="{00000000-0005-0000-0000-0000FC030000}"/>
    <cellStyle name="60% — акцент1 3" xfId="1022" xr:uid="{00000000-0005-0000-0000-0000FD030000}"/>
    <cellStyle name="60% — акцент1 3 2" xfId="1023" xr:uid="{00000000-0005-0000-0000-0000FE030000}"/>
    <cellStyle name="60% — акцент1 4" xfId="1024" xr:uid="{00000000-0005-0000-0000-0000FF030000}"/>
    <cellStyle name="60% — акцент1 4 2" xfId="1025" xr:uid="{00000000-0005-0000-0000-000000040000}"/>
    <cellStyle name="60% — акцент1 5" xfId="1026" xr:uid="{00000000-0005-0000-0000-000001040000}"/>
    <cellStyle name="60% — акцент1 6" xfId="1027" xr:uid="{00000000-0005-0000-0000-000002040000}"/>
    <cellStyle name="60% — акцент2" xfId="1028" builtinId="36" customBuiltin="1"/>
    <cellStyle name="60% - Акцент2 2" xfId="1029" xr:uid="{00000000-0005-0000-0000-000004040000}"/>
    <cellStyle name="60% — акцент2 2" xfId="1030" xr:uid="{00000000-0005-0000-0000-000005040000}"/>
    <cellStyle name="60% — акцент2 2 2" xfId="1031" xr:uid="{00000000-0005-0000-0000-000006040000}"/>
    <cellStyle name="60% — акцент2 2 2 2" xfId="1032" xr:uid="{00000000-0005-0000-0000-000007040000}"/>
    <cellStyle name="60% — акцент2 2 2 2 2" xfId="1033" xr:uid="{00000000-0005-0000-0000-000008040000}"/>
    <cellStyle name="60% — акцент2 2 2 3" xfId="1034" xr:uid="{00000000-0005-0000-0000-000009040000}"/>
    <cellStyle name="60% — акцент2 2 2 4" xfId="1035" xr:uid="{00000000-0005-0000-0000-00000A040000}"/>
    <cellStyle name="60% — акцент2 2 3" xfId="1036" xr:uid="{00000000-0005-0000-0000-00000B040000}"/>
    <cellStyle name="60% — акцент2 2 3 2" xfId="1037" xr:uid="{00000000-0005-0000-0000-00000C040000}"/>
    <cellStyle name="60% — акцент2 2 3 3" xfId="1038" xr:uid="{00000000-0005-0000-0000-00000D040000}"/>
    <cellStyle name="60% — акцент2 2 4" xfId="1039" xr:uid="{00000000-0005-0000-0000-00000E040000}"/>
    <cellStyle name="60% — акцент2 2 5" xfId="1040" xr:uid="{00000000-0005-0000-0000-00000F040000}"/>
    <cellStyle name="60% — акцент2 3" xfId="1041" xr:uid="{00000000-0005-0000-0000-000010040000}"/>
    <cellStyle name="60% — акцент2 3 2" xfId="1042" xr:uid="{00000000-0005-0000-0000-000011040000}"/>
    <cellStyle name="60% — акцент2 4" xfId="1043" xr:uid="{00000000-0005-0000-0000-000012040000}"/>
    <cellStyle name="60% — акцент2 4 2" xfId="1044" xr:uid="{00000000-0005-0000-0000-000013040000}"/>
    <cellStyle name="60% — акцент2 5" xfId="1045" xr:uid="{00000000-0005-0000-0000-000014040000}"/>
    <cellStyle name="60% — акцент2 6" xfId="1046" xr:uid="{00000000-0005-0000-0000-000015040000}"/>
    <cellStyle name="60% — акцент3" xfId="1047" builtinId="40" customBuiltin="1"/>
    <cellStyle name="60% - Акцент3 2" xfId="1048" xr:uid="{00000000-0005-0000-0000-000017040000}"/>
    <cellStyle name="60% — акцент3 2" xfId="1049" xr:uid="{00000000-0005-0000-0000-000018040000}"/>
    <cellStyle name="60% — акцент3 2 2" xfId="1050" xr:uid="{00000000-0005-0000-0000-000019040000}"/>
    <cellStyle name="60% — акцент3 2 2 2" xfId="1051" xr:uid="{00000000-0005-0000-0000-00001A040000}"/>
    <cellStyle name="60% — акцент3 2 2 2 2" xfId="1052" xr:uid="{00000000-0005-0000-0000-00001B040000}"/>
    <cellStyle name="60% — акцент3 2 2 3" xfId="1053" xr:uid="{00000000-0005-0000-0000-00001C040000}"/>
    <cellStyle name="60% — акцент3 2 2 4" xfId="1054" xr:uid="{00000000-0005-0000-0000-00001D040000}"/>
    <cellStyle name="60% — акцент3 2 3" xfId="1055" xr:uid="{00000000-0005-0000-0000-00001E040000}"/>
    <cellStyle name="60% — акцент3 2 3 2" xfId="1056" xr:uid="{00000000-0005-0000-0000-00001F040000}"/>
    <cellStyle name="60% — акцент3 2 3 3" xfId="1057" xr:uid="{00000000-0005-0000-0000-000020040000}"/>
    <cellStyle name="60% — акцент3 2 4" xfId="1058" xr:uid="{00000000-0005-0000-0000-000021040000}"/>
    <cellStyle name="60% — акцент3 2 5" xfId="1059" xr:uid="{00000000-0005-0000-0000-000022040000}"/>
    <cellStyle name="60% — акцент3 3" xfId="1060" xr:uid="{00000000-0005-0000-0000-000023040000}"/>
    <cellStyle name="60% — акцент3 3 2" xfId="1061" xr:uid="{00000000-0005-0000-0000-000024040000}"/>
    <cellStyle name="60% — акцент3 4" xfId="1062" xr:uid="{00000000-0005-0000-0000-000025040000}"/>
    <cellStyle name="60% — акцент3 4 2" xfId="1063" xr:uid="{00000000-0005-0000-0000-000026040000}"/>
    <cellStyle name="60% — акцент3 5" xfId="1064" xr:uid="{00000000-0005-0000-0000-000027040000}"/>
    <cellStyle name="60% — акцент3 6" xfId="1065" xr:uid="{00000000-0005-0000-0000-000028040000}"/>
    <cellStyle name="60% — акцент4" xfId="1066" builtinId="44" customBuiltin="1"/>
    <cellStyle name="60% - Акцент4 2" xfId="1067" xr:uid="{00000000-0005-0000-0000-00002A040000}"/>
    <cellStyle name="60% — акцент4 2" xfId="1068" xr:uid="{00000000-0005-0000-0000-00002B040000}"/>
    <cellStyle name="60% — акцент4 2 2" xfId="1069" xr:uid="{00000000-0005-0000-0000-00002C040000}"/>
    <cellStyle name="60% — акцент4 2 2 2" xfId="1070" xr:uid="{00000000-0005-0000-0000-00002D040000}"/>
    <cellStyle name="60% — акцент4 2 2 2 2" xfId="1071" xr:uid="{00000000-0005-0000-0000-00002E040000}"/>
    <cellStyle name="60% — акцент4 2 2 3" xfId="1072" xr:uid="{00000000-0005-0000-0000-00002F040000}"/>
    <cellStyle name="60% — акцент4 2 2 4" xfId="1073" xr:uid="{00000000-0005-0000-0000-000030040000}"/>
    <cellStyle name="60% — акцент4 2 3" xfId="1074" xr:uid="{00000000-0005-0000-0000-000031040000}"/>
    <cellStyle name="60% — акцент4 2 3 2" xfId="1075" xr:uid="{00000000-0005-0000-0000-000032040000}"/>
    <cellStyle name="60% — акцент4 2 3 3" xfId="1076" xr:uid="{00000000-0005-0000-0000-000033040000}"/>
    <cellStyle name="60% — акцент4 2 4" xfId="1077" xr:uid="{00000000-0005-0000-0000-000034040000}"/>
    <cellStyle name="60% — акцент4 2 5" xfId="1078" xr:uid="{00000000-0005-0000-0000-000035040000}"/>
    <cellStyle name="60% — акцент4 3" xfId="1079" xr:uid="{00000000-0005-0000-0000-000036040000}"/>
    <cellStyle name="60% — акцент4 3 2" xfId="1080" xr:uid="{00000000-0005-0000-0000-000037040000}"/>
    <cellStyle name="60% — акцент4 4" xfId="1081" xr:uid="{00000000-0005-0000-0000-000038040000}"/>
    <cellStyle name="60% — акцент4 4 2" xfId="1082" xr:uid="{00000000-0005-0000-0000-000039040000}"/>
    <cellStyle name="60% — акцент4 5" xfId="1083" xr:uid="{00000000-0005-0000-0000-00003A040000}"/>
    <cellStyle name="60% — акцент4 6" xfId="1084" xr:uid="{00000000-0005-0000-0000-00003B040000}"/>
    <cellStyle name="60% — акцент5" xfId="1085" builtinId="48" customBuiltin="1"/>
    <cellStyle name="60% - Акцент5 2" xfId="1086" xr:uid="{00000000-0005-0000-0000-00003D040000}"/>
    <cellStyle name="60% — акцент5 2" xfId="1087" xr:uid="{00000000-0005-0000-0000-00003E040000}"/>
    <cellStyle name="60% — акцент5 2 2" xfId="1088" xr:uid="{00000000-0005-0000-0000-00003F040000}"/>
    <cellStyle name="60% — акцент5 2 2 2" xfId="1089" xr:uid="{00000000-0005-0000-0000-000040040000}"/>
    <cellStyle name="60% — акцент5 2 2 2 2" xfId="1090" xr:uid="{00000000-0005-0000-0000-000041040000}"/>
    <cellStyle name="60% — акцент5 2 2 3" xfId="1091" xr:uid="{00000000-0005-0000-0000-000042040000}"/>
    <cellStyle name="60% — акцент5 2 2 4" xfId="1092" xr:uid="{00000000-0005-0000-0000-000043040000}"/>
    <cellStyle name="60% — акцент5 2 3" xfId="1093" xr:uid="{00000000-0005-0000-0000-000044040000}"/>
    <cellStyle name="60% — акцент5 2 3 2" xfId="1094" xr:uid="{00000000-0005-0000-0000-000045040000}"/>
    <cellStyle name="60% — акцент5 2 3 3" xfId="1095" xr:uid="{00000000-0005-0000-0000-000046040000}"/>
    <cellStyle name="60% — акцент5 2 4" xfId="1096" xr:uid="{00000000-0005-0000-0000-000047040000}"/>
    <cellStyle name="60% — акцент5 2 5" xfId="1097" xr:uid="{00000000-0005-0000-0000-000048040000}"/>
    <cellStyle name="60% — акцент5 3" xfId="1098" xr:uid="{00000000-0005-0000-0000-000049040000}"/>
    <cellStyle name="60% — акцент5 3 2" xfId="1099" xr:uid="{00000000-0005-0000-0000-00004A040000}"/>
    <cellStyle name="60% — акцент5 4" xfId="1100" xr:uid="{00000000-0005-0000-0000-00004B040000}"/>
    <cellStyle name="60% — акцент5 4 2" xfId="1101" xr:uid="{00000000-0005-0000-0000-00004C040000}"/>
    <cellStyle name="60% — акцент5 5" xfId="1102" xr:uid="{00000000-0005-0000-0000-00004D040000}"/>
    <cellStyle name="60% — акцент5 6" xfId="1103" xr:uid="{00000000-0005-0000-0000-00004E040000}"/>
    <cellStyle name="60% — акцент6" xfId="1104" builtinId="52" customBuiltin="1"/>
    <cellStyle name="60% - Акцент6 2" xfId="1105" xr:uid="{00000000-0005-0000-0000-000050040000}"/>
    <cellStyle name="60% — акцент6 2" xfId="1106" xr:uid="{00000000-0005-0000-0000-000051040000}"/>
    <cellStyle name="60% — акцент6 2 2" xfId="1107" xr:uid="{00000000-0005-0000-0000-000052040000}"/>
    <cellStyle name="60% — акцент6 2 2 2" xfId="1108" xr:uid="{00000000-0005-0000-0000-000053040000}"/>
    <cellStyle name="60% — акцент6 2 2 2 2" xfId="1109" xr:uid="{00000000-0005-0000-0000-000054040000}"/>
    <cellStyle name="60% — акцент6 2 2 3" xfId="1110" xr:uid="{00000000-0005-0000-0000-000055040000}"/>
    <cellStyle name="60% — акцент6 2 2 4" xfId="1111" xr:uid="{00000000-0005-0000-0000-000056040000}"/>
    <cellStyle name="60% — акцент6 2 3" xfId="1112" xr:uid="{00000000-0005-0000-0000-000057040000}"/>
    <cellStyle name="60% — акцент6 2 3 2" xfId="1113" xr:uid="{00000000-0005-0000-0000-000058040000}"/>
    <cellStyle name="60% — акцент6 2 3 3" xfId="1114" xr:uid="{00000000-0005-0000-0000-000059040000}"/>
    <cellStyle name="60% — акцент6 2 4" xfId="1115" xr:uid="{00000000-0005-0000-0000-00005A040000}"/>
    <cellStyle name="60% — акцент6 2 5" xfId="1116" xr:uid="{00000000-0005-0000-0000-00005B040000}"/>
    <cellStyle name="60% — акцент6 3" xfId="1117" xr:uid="{00000000-0005-0000-0000-00005C040000}"/>
    <cellStyle name="60% — акцент6 3 2" xfId="1118" xr:uid="{00000000-0005-0000-0000-00005D040000}"/>
    <cellStyle name="60% — акцент6 4" xfId="1119" xr:uid="{00000000-0005-0000-0000-00005E040000}"/>
    <cellStyle name="60% — акцент6 4 2" xfId="1120" xr:uid="{00000000-0005-0000-0000-00005F040000}"/>
    <cellStyle name="60% — акцент6 5" xfId="1121" xr:uid="{00000000-0005-0000-0000-000060040000}"/>
    <cellStyle name="60% — акцент6 6" xfId="1122" xr:uid="{00000000-0005-0000-0000-000061040000}"/>
    <cellStyle name="S0" xfId="1123" xr:uid="{00000000-0005-0000-0000-000062040000}"/>
    <cellStyle name="S1" xfId="1124" xr:uid="{00000000-0005-0000-0000-000063040000}"/>
    <cellStyle name="S10" xfId="1125" xr:uid="{00000000-0005-0000-0000-000064040000}"/>
    <cellStyle name="S11" xfId="1126" xr:uid="{00000000-0005-0000-0000-000065040000}"/>
    <cellStyle name="S12" xfId="1127" xr:uid="{00000000-0005-0000-0000-000066040000}"/>
    <cellStyle name="S13" xfId="1128" xr:uid="{00000000-0005-0000-0000-000067040000}"/>
    <cellStyle name="S2" xfId="1129" xr:uid="{00000000-0005-0000-0000-000068040000}"/>
    <cellStyle name="S3" xfId="1130" xr:uid="{00000000-0005-0000-0000-000069040000}"/>
    <cellStyle name="S4" xfId="1131" xr:uid="{00000000-0005-0000-0000-00006A040000}"/>
    <cellStyle name="S5" xfId="1132" xr:uid="{00000000-0005-0000-0000-00006B040000}"/>
    <cellStyle name="S6" xfId="1133" xr:uid="{00000000-0005-0000-0000-00006C040000}"/>
    <cellStyle name="S7" xfId="1134" xr:uid="{00000000-0005-0000-0000-00006D040000}"/>
    <cellStyle name="S8" xfId="1135" xr:uid="{00000000-0005-0000-0000-00006E040000}"/>
    <cellStyle name="S9" xfId="1136" xr:uid="{00000000-0005-0000-0000-00006F040000}"/>
    <cellStyle name="Акцент1" xfId="1137" builtinId="29" customBuiltin="1"/>
    <cellStyle name="Акцент1 2" xfId="1138" xr:uid="{00000000-0005-0000-0000-000071040000}"/>
    <cellStyle name="Акцент2" xfId="1139" builtinId="33" customBuiltin="1"/>
    <cellStyle name="Акцент2 2" xfId="1140" xr:uid="{00000000-0005-0000-0000-000073040000}"/>
    <cellStyle name="Акцент3" xfId="1141" builtinId="37" customBuiltin="1"/>
    <cellStyle name="Акцент3 2" xfId="1142" xr:uid="{00000000-0005-0000-0000-000075040000}"/>
    <cellStyle name="Акцент4" xfId="1143" builtinId="41" customBuiltin="1"/>
    <cellStyle name="Акцент4 2" xfId="1144" xr:uid="{00000000-0005-0000-0000-000077040000}"/>
    <cellStyle name="Акцент5" xfId="1145" builtinId="45" customBuiltin="1"/>
    <cellStyle name="Акцент5 2" xfId="1146" xr:uid="{00000000-0005-0000-0000-000079040000}"/>
    <cellStyle name="Акцент6" xfId="1147" builtinId="49" customBuiltin="1"/>
    <cellStyle name="Акцент6 2" xfId="1148" xr:uid="{00000000-0005-0000-0000-00007B040000}"/>
    <cellStyle name="Ввод " xfId="1149" builtinId="20" customBuiltin="1"/>
    <cellStyle name="Ввод  2" xfId="1150" xr:uid="{00000000-0005-0000-0000-00007D040000}"/>
    <cellStyle name="Вывод" xfId="1151" builtinId="21" customBuiltin="1"/>
    <cellStyle name="Вывод 2" xfId="1152" xr:uid="{00000000-0005-0000-0000-00007F040000}"/>
    <cellStyle name="Вычисление" xfId="1153" builtinId="22" customBuiltin="1"/>
    <cellStyle name="Вычисление 2" xfId="1154" xr:uid="{00000000-0005-0000-0000-000081040000}"/>
    <cellStyle name="Гиперссылка" xfId="1155" builtinId="8"/>
    <cellStyle name="Гиперссылка 2" xfId="1156" xr:uid="{00000000-0005-0000-0000-000083040000}"/>
    <cellStyle name="Гиперссылка 3" xfId="1157" xr:uid="{00000000-0005-0000-0000-000084040000}"/>
    <cellStyle name="Гиперссылка 4" xfId="1158" xr:uid="{00000000-0005-0000-0000-000085040000}"/>
    <cellStyle name="Денежный 2" xfId="1159" xr:uid="{00000000-0005-0000-0000-000086040000}"/>
    <cellStyle name="Денежный 2 2" xfId="1160" xr:uid="{00000000-0005-0000-0000-000087040000}"/>
    <cellStyle name="Заголовок 1" xfId="1161" builtinId="16" customBuiltin="1"/>
    <cellStyle name="Заголовок 1 2" xfId="1162" xr:uid="{00000000-0005-0000-0000-000089040000}"/>
    <cellStyle name="Заголовок 2" xfId="1163" builtinId="17" customBuiltin="1"/>
    <cellStyle name="Заголовок 2 2" xfId="1164" xr:uid="{00000000-0005-0000-0000-00008B040000}"/>
    <cellStyle name="Заголовок 3" xfId="1165" builtinId="18" customBuiltin="1"/>
    <cellStyle name="Заголовок 3 2" xfId="1166" xr:uid="{00000000-0005-0000-0000-00008D040000}"/>
    <cellStyle name="Заголовок 4" xfId="1167" builtinId="19" customBuiltin="1"/>
    <cellStyle name="Заголовок 4 2" xfId="1168" xr:uid="{00000000-0005-0000-0000-00008F040000}"/>
    <cellStyle name="Итог" xfId="1169" builtinId="25" customBuiltin="1"/>
    <cellStyle name="Итог 2" xfId="1170" xr:uid="{00000000-0005-0000-0000-000091040000}"/>
    <cellStyle name="Контрольная ячейка" xfId="1171" builtinId="23" customBuiltin="1"/>
    <cellStyle name="Контрольная ячейка 2" xfId="1172" xr:uid="{00000000-0005-0000-0000-000093040000}"/>
    <cellStyle name="Название" xfId="1173" builtinId="15" customBuiltin="1"/>
    <cellStyle name="Название 2" xfId="1174" xr:uid="{00000000-0005-0000-0000-000095040000}"/>
    <cellStyle name="Нейтральный" xfId="1175" builtinId="28" customBuiltin="1"/>
    <cellStyle name="Нейтральный 2" xfId="1176" xr:uid="{00000000-0005-0000-0000-000097040000}"/>
    <cellStyle name="Нейтральный 2 2" xfId="1177" xr:uid="{00000000-0005-0000-0000-000098040000}"/>
    <cellStyle name="Нейтральный 2 3" xfId="1178" xr:uid="{00000000-0005-0000-0000-000099040000}"/>
    <cellStyle name="Нейтральный 3" xfId="1179" xr:uid="{00000000-0005-0000-0000-00009A040000}"/>
    <cellStyle name="Нейтральный 3 2" xfId="1180" xr:uid="{00000000-0005-0000-0000-00009B040000}"/>
    <cellStyle name="Нейтральный 4" xfId="1181" xr:uid="{00000000-0005-0000-0000-00009C040000}"/>
    <cellStyle name="Обычный" xfId="0" builtinId="0"/>
    <cellStyle name="Обычный 10" xfId="1182" xr:uid="{00000000-0005-0000-0000-00009E040000}"/>
    <cellStyle name="Обычный 10 2" xfId="1183" xr:uid="{00000000-0005-0000-0000-00009F040000}"/>
    <cellStyle name="Обычный 10 2 2" xfId="1184" xr:uid="{00000000-0005-0000-0000-0000A0040000}"/>
    <cellStyle name="Обычный 10 2 2 2" xfId="1185" xr:uid="{00000000-0005-0000-0000-0000A1040000}"/>
    <cellStyle name="Обычный 10 2 3" xfId="1186" xr:uid="{00000000-0005-0000-0000-0000A2040000}"/>
    <cellStyle name="Обычный 10 2 4" xfId="1187" xr:uid="{00000000-0005-0000-0000-0000A3040000}"/>
    <cellStyle name="Обычный 10 3" xfId="1188" xr:uid="{00000000-0005-0000-0000-0000A4040000}"/>
    <cellStyle name="Обычный 10 3 2" xfId="1189" xr:uid="{00000000-0005-0000-0000-0000A5040000}"/>
    <cellStyle name="Обычный 10 3 3" xfId="1190" xr:uid="{00000000-0005-0000-0000-0000A6040000}"/>
    <cellStyle name="Обычный 10 4" xfId="1191" xr:uid="{00000000-0005-0000-0000-0000A7040000}"/>
    <cellStyle name="Обычный 10 4 2" xfId="1192" xr:uid="{00000000-0005-0000-0000-0000A8040000}"/>
    <cellStyle name="Обычный 10 5" xfId="1193" xr:uid="{00000000-0005-0000-0000-0000A9040000}"/>
    <cellStyle name="Обычный 11" xfId="1194" xr:uid="{00000000-0005-0000-0000-0000AA040000}"/>
    <cellStyle name="Обычный 11 2" xfId="1195" xr:uid="{00000000-0005-0000-0000-0000AB040000}"/>
    <cellStyle name="Обычный 11 3" xfId="1196" xr:uid="{00000000-0005-0000-0000-0000AC040000}"/>
    <cellStyle name="Обычный 11 3 2" xfId="1197" xr:uid="{00000000-0005-0000-0000-0000AD040000}"/>
    <cellStyle name="Обычный 12" xfId="1198" xr:uid="{00000000-0005-0000-0000-0000AE040000}"/>
    <cellStyle name="Обычный 12 2" xfId="1199" xr:uid="{00000000-0005-0000-0000-0000AF040000}"/>
    <cellStyle name="Обычный 12 3" xfId="1200" xr:uid="{00000000-0005-0000-0000-0000B0040000}"/>
    <cellStyle name="Обычный 13" xfId="1201" xr:uid="{00000000-0005-0000-0000-0000B1040000}"/>
    <cellStyle name="Обычный 13 2" xfId="1202" xr:uid="{00000000-0005-0000-0000-0000B2040000}"/>
    <cellStyle name="Обычный 13 3" xfId="1203" xr:uid="{00000000-0005-0000-0000-0000B3040000}"/>
    <cellStyle name="Обычный 14" xfId="1204" xr:uid="{00000000-0005-0000-0000-0000B4040000}"/>
    <cellStyle name="Обычный 14 2" xfId="1205" xr:uid="{00000000-0005-0000-0000-0000B5040000}"/>
    <cellStyle name="Обычный 15" xfId="1206" xr:uid="{00000000-0005-0000-0000-0000B6040000}"/>
    <cellStyle name="Обычный 15 2" xfId="1207" xr:uid="{00000000-0005-0000-0000-0000B7040000}"/>
    <cellStyle name="Обычный 16" xfId="1208" xr:uid="{00000000-0005-0000-0000-0000B8040000}"/>
    <cellStyle name="Обычный 16 2" xfId="1209" xr:uid="{00000000-0005-0000-0000-0000B9040000}"/>
    <cellStyle name="Обычный 17" xfId="1210" xr:uid="{00000000-0005-0000-0000-0000BA040000}"/>
    <cellStyle name="Обычный 18" xfId="1211" xr:uid="{00000000-0005-0000-0000-0000BB040000}"/>
    <cellStyle name="Обычный 19" xfId="1212" xr:uid="{00000000-0005-0000-0000-0000BC040000}"/>
    <cellStyle name="Обычный 2" xfId="1213" xr:uid="{00000000-0005-0000-0000-0000BD040000}"/>
    <cellStyle name="Обычный 2 2" xfId="1214" xr:uid="{00000000-0005-0000-0000-0000BE040000}"/>
    <cellStyle name="Обычный 2 2 2" xfId="1215" xr:uid="{00000000-0005-0000-0000-0000BF040000}"/>
    <cellStyle name="Обычный 2 2 2 2" xfId="1216" xr:uid="{00000000-0005-0000-0000-0000C0040000}"/>
    <cellStyle name="Обычный 2 2 2 2 2" xfId="1217" xr:uid="{00000000-0005-0000-0000-0000C1040000}"/>
    <cellStyle name="Обычный 2 2 2 2 2 2" xfId="1218" xr:uid="{00000000-0005-0000-0000-0000C2040000}"/>
    <cellStyle name="Обычный 2 2 2 2 2 3" xfId="1219" xr:uid="{00000000-0005-0000-0000-0000C3040000}"/>
    <cellStyle name="Обычный 2 2 2 2 3" xfId="1220" xr:uid="{00000000-0005-0000-0000-0000C4040000}"/>
    <cellStyle name="Обычный 2 2 2 2 3 2" xfId="1221" xr:uid="{00000000-0005-0000-0000-0000C5040000}"/>
    <cellStyle name="Обычный 2 2 2 2 4" xfId="1222" xr:uid="{00000000-0005-0000-0000-0000C6040000}"/>
    <cellStyle name="Обычный 2 2 2 3" xfId="1223" xr:uid="{00000000-0005-0000-0000-0000C7040000}"/>
    <cellStyle name="Обычный 2 2 2 3 2" xfId="1224" xr:uid="{00000000-0005-0000-0000-0000C8040000}"/>
    <cellStyle name="Обычный 2 2 2 3 3" xfId="1225" xr:uid="{00000000-0005-0000-0000-0000C9040000}"/>
    <cellStyle name="Обычный 2 2 2 4" xfId="1226" xr:uid="{00000000-0005-0000-0000-0000CA040000}"/>
    <cellStyle name="Обычный 2 2 2 4 2" xfId="1227" xr:uid="{00000000-0005-0000-0000-0000CB040000}"/>
    <cellStyle name="Обычный 2 2 2 5" xfId="1228" xr:uid="{00000000-0005-0000-0000-0000CC040000}"/>
    <cellStyle name="Обычный 2 2 2 6" xfId="1229" xr:uid="{00000000-0005-0000-0000-0000CD040000}"/>
    <cellStyle name="Обычный 2 2 3" xfId="1230" xr:uid="{00000000-0005-0000-0000-0000CE040000}"/>
    <cellStyle name="Обычный 2 2 3 2" xfId="1231" xr:uid="{00000000-0005-0000-0000-0000CF040000}"/>
    <cellStyle name="Обычный 2 2 3 2 2" xfId="1232" xr:uid="{00000000-0005-0000-0000-0000D0040000}"/>
    <cellStyle name="Обычный 2 2 3 2 2 2" xfId="1233" xr:uid="{00000000-0005-0000-0000-0000D1040000}"/>
    <cellStyle name="Обычный 2 2 3 2 3" xfId="1234" xr:uid="{00000000-0005-0000-0000-0000D2040000}"/>
    <cellStyle name="Обычный 2 2 3 2 4" xfId="1235" xr:uid="{00000000-0005-0000-0000-0000D3040000}"/>
    <cellStyle name="Обычный 2 2 3 3" xfId="1236" xr:uid="{00000000-0005-0000-0000-0000D4040000}"/>
    <cellStyle name="Обычный 2 2 3 3 2" xfId="1237" xr:uid="{00000000-0005-0000-0000-0000D5040000}"/>
    <cellStyle name="Обычный 2 2 3 3 3" xfId="1238" xr:uid="{00000000-0005-0000-0000-0000D6040000}"/>
    <cellStyle name="Обычный 2 2 3 4" xfId="1239" xr:uid="{00000000-0005-0000-0000-0000D7040000}"/>
    <cellStyle name="Обычный 2 2 3 4 2" xfId="1240" xr:uid="{00000000-0005-0000-0000-0000D8040000}"/>
    <cellStyle name="Обычный 2 2 3 5" xfId="1241" xr:uid="{00000000-0005-0000-0000-0000D9040000}"/>
    <cellStyle name="Обычный 2 2 3 6" xfId="1242" xr:uid="{00000000-0005-0000-0000-0000DA040000}"/>
    <cellStyle name="Обычный 2 2 4" xfId="1243" xr:uid="{00000000-0005-0000-0000-0000DB040000}"/>
    <cellStyle name="Обычный 2 2 4 2" xfId="1244" xr:uid="{00000000-0005-0000-0000-0000DC040000}"/>
    <cellStyle name="Обычный 2 2 5" xfId="1245" xr:uid="{00000000-0005-0000-0000-0000DD040000}"/>
    <cellStyle name="Обычный 2 2 6" xfId="1246" xr:uid="{00000000-0005-0000-0000-0000DE040000}"/>
    <cellStyle name="Обычный 2 3" xfId="1247" xr:uid="{00000000-0005-0000-0000-0000DF040000}"/>
    <cellStyle name="Обычный 2 3 2" xfId="1248" xr:uid="{00000000-0005-0000-0000-0000E0040000}"/>
    <cellStyle name="Обычный 2 3 2 2" xfId="1249" xr:uid="{00000000-0005-0000-0000-0000E1040000}"/>
    <cellStyle name="Обычный 2 3 3" xfId="1250" xr:uid="{00000000-0005-0000-0000-0000E2040000}"/>
    <cellStyle name="Обычный 2 3 3 2" xfId="1251" xr:uid="{00000000-0005-0000-0000-0000E3040000}"/>
    <cellStyle name="Обычный 2 3 4" xfId="1252" xr:uid="{00000000-0005-0000-0000-0000E4040000}"/>
    <cellStyle name="Обычный 2 4" xfId="1253" xr:uid="{00000000-0005-0000-0000-0000E5040000}"/>
    <cellStyle name="Обычный 2 4 2" xfId="1254" xr:uid="{00000000-0005-0000-0000-0000E6040000}"/>
    <cellStyle name="Обычный 2 5" xfId="1255" xr:uid="{00000000-0005-0000-0000-0000E7040000}"/>
    <cellStyle name="Обычный 2 6" xfId="1256" xr:uid="{00000000-0005-0000-0000-0000E8040000}"/>
    <cellStyle name="Обычный 20" xfId="1257" xr:uid="{00000000-0005-0000-0000-0000E9040000}"/>
    <cellStyle name="Обычный 21" xfId="1258" xr:uid="{00000000-0005-0000-0000-0000EA040000}"/>
    <cellStyle name="Обычный 22" xfId="1259" xr:uid="{00000000-0005-0000-0000-0000EB040000}"/>
    <cellStyle name="Обычный 23" xfId="1260" xr:uid="{00000000-0005-0000-0000-0000EC040000}"/>
    <cellStyle name="Обычный 3" xfId="1261" xr:uid="{00000000-0005-0000-0000-0000ED040000}"/>
    <cellStyle name="Обычный 3 2" xfId="1262" xr:uid="{00000000-0005-0000-0000-0000EE040000}"/>
    <cellStyle name="Обычный 3 2 2" xfId="1263" xr:uid="{00000000-0005-0000-0000-0000EF040000}"/>
    <cellStyle name="Обычный 3 2 2 2" xfId="1264" xr:uid="{00000000-0005-0000-0000-0000F0040000}"/>
    <cellStyle name="Обычный 3 2 2 2 2" xfId="1265" xr:uid="{00000000-0005-0000-0000-0000F1040000}"/>
    <cellStyle name="Обычный 3 2 2 2 2 2" xfId="1266" xr:uid="{00000000-0005-0000-0000-0000F2040000}"/>
    <cellStyle name="Обычный 3 2 2 2 3" xfId="1267" xr:uid="{00000000-0005-0000-0000-0000F3040000}"/>
    <cellStyle name="Обычный 3 2 2 2 4" xfId="1268" xr:uid="{00000000-0005-0000-0000-0000F4040000}"/>
    <cellStyle name="Обычный 3 2 2 3" xfId="1269" xr:uid="{00000000-0005-0000-0000-0000F5040000}"/>
    <cellStyle name="Обычный 3 2 2 3 2" xfId="1270" xr:uid="{00000000-0005-0000-0000-0000F6040000}"/>
    <cellStyle name="Обычный 3 2 2 3 3" xfId="1271" xr:uid="{00000000-0005-0000-0000-0000F7040000}"/>
    <cellStyle name="Обычный 3 2 2 4" xfId="1272" xr:uid="{00000000-0005-0000-0000-0000F8040000}"/>
    <cellStyle name="Обычный 3 2 2 5" xfId="1273" xr:uid="{00000000-0005-0000-0000-0000F9040000}"/>
    <cellStyle name="Обычный 3 2 3" xfId="1274" xr:uid="{00000000-0005-0000-0000-0000FA040000}"/>
    <cellStyle name="Обычный 3 2 3 2" xfId="1275" xr:uid="{00000000-0005-0000-0000-0000FB040000}"/>
    <cellStyle name="Обычный 3 2 3 2 2" xfId="1276" xr:uid="{00000000-0005-0000-0000-0000FC040000}"/>
    <cellStyle name="Обычный 3 2 3 3" xfId="1277" xr:uid="{00000000-0005-0000-0000-0000FD040000}"/>
    <cellStyle name="Обычный 3 2 3 4" xfId="1278" xr:uid="{00000000-0005-0000-0000-0000FE040000}"/>
    <cellStyle name="Обычный 3 2 4" xfId="1279" xr:uid="{00000000-0005-0000-0000-0000FF040000}"/>
    <cellStyle name="Обычный 3 2 4 2" xfId="1280" xr:uid="{00000000-0005-0000-0000-000000050000}"/>
    <cellStyle name="Обычный 3 2 4 3" xfId="1281" xr:uid="{00000000-0005-0000-0000-000001050000}"/>
    <cellStyle name="Обычный 3 2 5" xfId="1282" xr:uid="{00000000-0005-0000-0000-000002050000}"/>
    <cellStyle name="Обычный 3 2 5 2" xfId="1283" xr:uid="{00000000-0005-0000-0000-000003050000}"/>
    <cellStyle name="Обычный 3 2 6" xfId="1284" xr:uid="{00000000-0005-0000-0000-000004050000}"/>
    <cellStyle name="Обычный 3 2 7" xfId="1285" xr:uid="{00000000-0005-0000-0000-000005050000}"/>
    <cellStyle name="Обычный 3 3" xfId="1286" xr:uid="{00000000-0005-0000-0000-000006050000}"/>
    <cellStyle name="Обычный 3 3 2" xfId="1287" xr:uid="{00000000-0005-0000-0000-000007050000}"/>
    <cellStyle name="Обычный 3 3 2 2" xfId="1288" xr:uid="{00000000-0005-0000-0000-000008050000}"/>
    <cellStyle name="Обычный 3 3 3" xfId="1289" xr:uid="{00000000-0005-0000-0000-000009050000}"/>
    <cellStyle name="Обычный 3 3 4" xfId="1290" xr:uid="{00000000-0005-0000-0000-00000A050000}"/>
    <cellStyle name="Обычный 3 4" xfId="1291" xr:uid="{00000000-0005-0000-0000-00000B050000}"/>
    <cellStyle name="Обычный 3 4 2" xfId="1292" xr:uid="{00000000-0005-0000-0000-00000C050000}"/>
    <cellStyle name="Обычный 3 4 3" xfId="1293" xr:uid="{00000000-0005-0000-0000-00000D050000}"/>
    <cellStyle name="Обычный 3 5" xfId="1294" xr:uid="{00000000-0005-0000-0000-00000E050000}"/>
    <cellStyle name="Обычный 3 5 2" xfId="1295" xr:uid="{00000000-0005-0000-0000-00000F050000}"/>
    <cellStyle name="Обычный 3 6" xfId="1296" xr:uid="{00000000-0005-0000-0000-000010050000}"/>
    <cellStyle name="Обычный 3 7" xfId="1297" xr:uid="{00000000-0005-0000-0000-000011050000}"/>
    <cellStyle name="Обычный 3 8" xfId="1298" xr:uid="{00000000-0005-0000-0000-000012050000}"/>
    <cellStyle name="Обычный 4" xfId="1299" xr:uid="{00000000-0005-0000-0000-000013050000}"/>
    <cellStyle name="Обычный 4 2" xfId="1300" xr:uid="{00000000-0005-0000-0000-000014050000}"/>
    <cellStyle name="Обычный 4 3" xfId="1301" xr:uid="{00000000-0005-0000-0000-000015050000}"/>
    <cellStyle name="Обычный 4 4" xfId="1302" xr:uid="{00000000-0005-0000-0000-000016050000}"/>
    <cellStyle name="Обычный 5" xfId="1303" xr:uid="{00000000-0005-0000-0000-000017050000}"/>
    <cellStyle name="Обычный 5 2" xfId="1304" xr:uid="{00000000-0005-0000-0000-000018050000}"/>
    <cellStyle name="Обычный 5 2 2" xfId="1305" xr:uid="{00000000-0005-0000-0000-000019050000}"/>
    <cellStyle name="Обычный 5 3" xfId="1306" xr:uid="{00000000-0005-0000-0000-00001A050000}"/>
    <cellStyle name="Обычный 6" xfId="1307" xr:uid="{00000000-0005-0000-0000-00001B050000}"/>
    <cellStyle name="Обычный 6 2" xfId="1308" xr:uid="{00000000-0005-0000-0000-00001C050000}"/>
    <cellStyle name="Обычный 6 3" xfId="1309" xr:uid="{00000000-0005-0000-0000-00001D050000}"/>
    <cellStyle name="Обычный 7" xfId="1310" xr:uid="{00000000-0005-0000-0000-00001E050000}"/>
    <cellStyle name="Обычный 7 2" xfId="1311" xr:uid="{00000000-0005-0000-0000-00001F050000}"/>
    <cellStyle name="Обычный 7 2 2" xfId="1312" xr:uid="{00000000-0005-0000-0000-000020050000}"/>
    <cellStyle name="Обычный 7 2 2 2" xfId="1313" xr:uid="{00000000-0005-0000-0000-000021050000}"/>
    <cellStyle name="Обычный 7 2 2 2 2" xfId="1314" xr:uid="{00000000-0005-0000-0000-000022050000}"/>
    <cellStyle name="Обычный 7 2 2 2 2 2" xfId="1315" xr:uid="{00000000-0005-0000-0000-000023050000}"/>
    <cellStyle name="Обычный 7 2 2 2 2 2 2" xfId="1316" xr:uid="{00000000-0005-0000-0000-000024050000}"/>
    <cellStyle name="Обычный 7 2 2 2 2 2 2 2" xfId="1317" xr:uid="{00000000-0005-0000-0000-000025050000}"/>
    <cellStyle name="Обычный 7 2 2 2 2 2 3" xfId="1318" xr:uid="{00000000-0005-0000-0000-000026050000}"/>
    <cellStyle name="Обычный 7 2 2 2 2 2 4" xfId="1319" xr:uid="{00000000-0005-0000-0000-000027050000}"/>
    <cellStyle name="Обычный 7 2 2 2 2 3" xfId="1320" xr:uid="{00000000-0005-0000-0000-000028050000}"/>
    <cellStyle name="Обычный 7 2 2 2 2 3 2" xfId="1321" xr:uid="{00000000-0005-0000-0000-000029050000}"/>
    <cellStyle name="Обычный 7 2 2 2 2 3 3" xfId="1322" xr:uid="{00000000-0005-0000-0000-00002A050000}"/>
    <cellStyle name="Обычный 7 2 2 2 2 4" xfId="1323" xr:uid="{00000000-0005-0000-0000-00002B050000}"/>
    <cellStyle name="Обычный 7 2 2 2 2 5" xfId="1324" xr:uid="{00000000-0005-0000-0000-00002C050000}"/>
    <cellStyle name="Обычный 7 2 2 2 3" xfId="1325" xr:uid="{00000000-0005-0000-0000-00002D050000}"/>
    <cellStyle name="Обычный 7 2 2 2 3 2" xfId="1326" xr:uid="{00000000-0005-0000-0000-00002E050000}"/>
    <cellStyle name="Обычный 7 2 2 2 3 2 2" xfId="1327" xr:uid="{00000000-0005-0000-0000-00002F050000}"/>
    <cellStyle name="Обычный 7 2 2 2 3 3" xfId="1328" xr:uid="{00000000-0005-0000-0000-000030050000}"/>
    <cellStyle name="Обычный 7 2 2 2 3 4" xfId="1329" xr:uid="{00000000-0005-0000-0000-000031050000}"/>
    <cellStyle name="Обычный 7 2 2 2 4" xfId="1330" xr:uid="{00000000-0005-0000-0000-000032050000}"/>
    <cellStyle name="Обычный 7 2 2 2 4 2" xfId="1331" xr:uid="{00000000-0005-0000-0000-000033050000}"/>
    <cellStyle name="Обычный 7 2 2 2 4 3" xfId="1332" xr:uid="{00000000-0005-0000-0000-000034050000}"/>
    <cellStyle name="Обычный 7 2 2 2 5" xfId="1333" xr:uid="{00000000-0005-0000-0000-000035050000}"/>
    <cellStyle name="Обычный 7 2 2 2 6" xfId="1334" xr:uid="{00000000-0005-0000-0000-000036050000}"/>
    <cellStyle name="Обычный 7 2 2 3" xfId="1335" xr:uid="{00000000-0005-0000-0000-000037050000}"/>
    <cellStyle name="Обычный 7 2 2 3 2" xfId="1336" xr:uid="{00000000-0005-0000-0000-000038050000}"/>
    <cellStyle name="Обычный 7 2 2 3 2 2" xfId="1337" xr:uid="{00000000-0005-0000-0000-000039050000}"/>
    <cellStyle name="Обычный 7 2 2 3 3" xfId="1338" xr:uid="{00000000-0005-0000-0000-00003A050000}"/>
    <cellStyle name="Обычный 7 2 2 3 4" xfId="1339" xr:uid="{00000000-0005-0000-0000-00003B050000}"/>
    <cellStyle name="Обычный 7 2 2 4" xfId="1340" xr:uid="{00000000-0005-0000-0000-00003C050000}"/>
    <cellStyle name="Обычный 7 2 2 4 2" xfId="1341" xr:uid="{00000000-0005-0000-0000-00003D050000}"/>
    <cellStyle name="Обычный 7 2 2 4 3" xfId="1342" xr:uid="{00000000-0005-0000-0000-00003E050000}"/>
    <cellStyle name="Обычный 7 2 2 5" xfId="1343" xr:uid="{00000000-0005-0000-0000-00003F050000}"/>
    <cellStyle name="Обычный 7 2 2 6" xfId="1344" xr:uid="{00000000-0005-0000-0000-000040050000}"/>
    <cellStyle name="Обычный 7 2 3" xfId="1345" xr:uid="{00000000-0005-0000-0000-000041050000}"/>
    <cellStyle name="Обычный 7 2 3 2" xfId="1346" xr:uid="{00000000-0005-0000-0000-000042050000}"/>
    <cellStyle name="Обычный 7 2 3 2 2" xfId="1347" xr:uid="{00000000-0005-0000-0000-000043050000}"/>
    <cellStyle name="Обычный 7 2 3 3" xfId="1348" xr:uid="{00000000-0005-0000-0000-000044050000}"/>
    <cellStyle name="Обычный 7 2 3 4" xfId="1349" xr:uid="{00000000-0005-0000-0000-000045050000}"/>
    <cellStyle name="Обычный 7 2 4" xfId="1350" xr:uid="{00000000-0005-0000-0000-000046050000}"/>
    <cellStyle name="Обычный 7 2 4 2" xfId="1351" xr:uid="{00000000-0005-0000-0000-000047050000}"/>
    <cellStyle name="Обычный 7 2 4 3" xfId="1352" xr:uid="{00000000-0005-0000-0000-000048050000}"/>
    <cellStyle name="Обычный 7 2 5" xfId="1353" xr:uid="{00000000-0005-0000-0000-000049050000}"/>
    <cellStyle name="Обычный 7 2 6" xfId="1354" xr:uid="{00000000-0005-0000-0000-00004A050000}"/>
    <cellStyle name="Обычный 7 3" xfId="1355" xr:uid="{00000000-0005-0000-0000-00004B050000}"/>
    <cellStyle name="Обычный 7 3 2" xfId="1356" xr:uid="{00000000-0005-0000-0000-00004C050000}"/>
    <cellStyle name="Обычный 7 3 2 2" xfId="1357" xr:uid="{00000000-0005-0000-0000-00004D050000}"/>
    <cellStyle name="Обычный 7 3 2 2 2" xfId="1358" xr:uid="{00000000-0005-0000-0000-00004E050000}"/>
    <cellStyle name="Обычный 7 3 2 2 2 2" xfId="1359" xr:uid="{00000000-0005-0000-0000-00004F050000}"/>
    <cellStyle name="Обычный 7 3 2 2 3" xfId="1360" xr:uid="{00000000-0005-0000-0000-000050050000}"/>
    <cellStyle name="Обычный 7 3 2 2 4" xfId="1361" xr:uid="{00000000-0005-0000-0000-000051050000}"/>
    <cellStyle name="Обычный 7 3 2 3" xfId="1362" xr:uid="{00000000-0005-0000-0000-000052050000}"/>
    <cellStyle name="Обычный 7 3 2 3 2" xfId="1363" xr:uid="{00000000-0005-0000-0000-000053050000}"/>
    <cellStyle name="Обычный 7 3 2 3 3" xfId="1364" xr:uid="{00000000-0005-0000-0000-000054050000}"/>
    <cellStyle name="Обычный 7 3 2 4" xfId="1365" xr:uid="{00000000-0005-0000-0000-000055050000}"/>
    <cellStyle name="Обычный 7 3 2 4 2" xfId="1366" xr:uid="{00000000-0005-0000-0000-000056050000}"/>
    <cellStyle name="Обычный 7 3 2 5" xfId="1367" xr:uid="{00000000-0005-0000-0000-000057050000}"/>
    <cellStyle name="Обычный 7 3 3" xfId="1368" xr:uid="{00000000-0005-0000-0000-000058050000}"/>
    <cellStyle name="Обычный 7 3 3 2" xfId="1369" xr:uid="{00000000-0005-0000-0000-000059050000}"/>
    <cellStyle name="Обычный 7 3 3 2 2" xfId="1370" xr:uid="{00000000-0005-0000-0000-00005A050000}"/>
    <cellStyle name="Обычный 7 3 3 3" xfId="1371" xr:uid="{00000000-0005-0000-0000-00005B050000}"/>
    <cellStyle name="Обычный 7 3 3 4" xfId="1372" xr:uid="{00000000-0005-0000-0000-00005C050000}"/>
    <cellStyle name="Обычный 7 3 4" xfId="1373" xr:uid="{00000000-0005-0000-0000-00005D050000}"/>
    <cellStyle name="Обычный 7 3 4 2" xfId="1374" xr:uid="{00000000-0005-0000-0000-00005E050000}"/>
    <cellStyle name="Обычный 7 3 4 3" xfId="1375" xr:uid="{00000000-0005-0000-0000-00005F050000}"/>
    <cellStyle name="Обычный 7 3 5" xfId="1376" xr:uid="{00000000-0005-0000-0000-000060050000}"/>
    <cellStyle name="Обычный 7 3 6" xfId="1377" xr:uid="{00000000-0005-0000-0000-000061050000}"/>
    <cellStyle name="Обычный 7 4" xfId="1378" xr:uid="{00000000-0005-0000-0000-000062050000}"/>
    <cellStyle name="Обычный 7 4 2" xfId="1379" xr:uid="{00000000-0005-0000-0000-000063050000}"/>
    <cellStyle name="Обычный 7 4 2 2" xfId="1380" xr:uid="{00000000-0005-0000-0000-000064050000}"/>
    <cellStyle name="Обычный 7 4 3" xfId="1381" xr:uid="{00000000-0005-0000-0000-000065050000}"/>
    <cellStyle name="Обычный 7 4 4" xfId="1382" xr:uid="{00000000-0005-0000-0000-000066050000}"/>
    <cellStyle name="Обычный 7 5" xfId="1383" xr:uid="{00000000-0005-0000-0000-000067050000}"/>
    <cellStyle name="Обычный 7 5 2" xfId="1384" xr:uid="{00000000-0005-0000-0000-000068050000}"/>
    <cellStyle name="Обычный 7 5 3" xfId="1385" xr:uid="{00000000-0005-0000-0000-000069050000}"/>
    <cellStyle name="Обычный 7 6" xfId="1386" xr:uid="{00000000-0005-0000-0000-00006A050000}"/>
    <cellStyle name="Обычный 7 6 2" xfId="1387" xr:uid="{00000000-0005-0000-0000-00006B050000}"/>
    <cellStyle name="Обычный 7 7" xfId="1388" xr:uid="{00000000-0005-0000-0000-00006C050000}"/>
    <cellStyle name="Обычный 7 8" xfId="1389" xr:uid="{00000000-0005-0000-0000-00006D050000}"/>
    <cellStyle name="Обычный 8" xfId="1390" xr:uid="{00000000-0005-0000-0000-00006E050000}"/>
    <cellStyle name="Обычный 8 2" xfId="1391" xr:uid="{00000000-0005-0000-0000-00006F050000}"/>
    <cellStyle name="Обычный 8 2 2" xfId="1392" xr:uid="{00000000-0005-0000-0000-000070050000}"/>
    <cellStyle name="Обычный 8 2 2 2" xfId="1393" xr:uid="{00000000-0005-0000-0000-000071050000}"/>
    <cellStyle name="Обычный 8 2 3" xfId="1394" xr:uid="{00000000-0005-0000-0000-000072050000}"/>
    <cellStyle name="Обычный 8 2 4" xfId="1395" xr:uid="{00000000-0005-0000-0000-000073050000}"/>
    <cellStyle name="Обычный 8 3" xfId="1396" xr:uid="{00000000-0005-0000-0000-000074050000}"/>
    <cellStyle name="Обычный 8 3 2" xfId="1397" xr:uid="{00000000-0005-0000-0000-000075050000}"/>
    <cellStyle name="Обычный 8 3 3" xfId="1398" xr:uid="{00000000-0005-0000-0000-000076050000}"/>
    <cellStyle name="Обычный 8 4" xfId="1399" xr:uid="{00000000-0005-0000-0000-000077050000}"/>
    <cellStyle name="Обычный 8 4 2" xfId="1400" xr:uid="{00000000-0005-0000-0000-000078050000}"/>
    <cellStyle name="Обычный 8 5" xfId="1401" xr:uid="{00000000-0005-0000-0000-000079050000}"/>
    <cellStyle name="Обычный 8 6" xfId="1402" xr:uid="{00000000-0005-0000-0000-00007A050000}"/>
    <cellStyle name="Обычный 9" xfId="1403" xr:uid="{00000000-0005-0000-0000-00007B050000}"/>
    <cellStyle name="Обычный 9 2" xfId="1404" xr:uid="{00000000-0005-0000-0000-00007C050000}"/>
    <cellStyle name="Обычный 9 2 2" xfId="1405" xr:uid="{00000000-0005-0000-0000-00007D050000}"/>
    <cellStyle name="Обычный 9 2 2 2" xfId="1406" xr:uid="{00000000-0005-0000-0000-00007E050000}"/>
    <cellStyle name="Обычный 9 2 2 2 2" xfId="1407" xr:uid="{00000000-0005-0000-0000-00007F050000}"/>
    <cellStyle name="Обычный 9 2 2 3" xfId="1408" xr:uid="{00000000-0005-0000-0000-000080050000}"/>
    <cellStyle name="Обычный 9 2 3" xfId="1409" xr:uid="{00000000-0005-0000-0000-000081050000}"/>
    <cellStyle name="Обычный 9 2 4" xfId="1410" xr:uid="{00000000-0005-0000-0000-000082050000}"/>
    <cellStyle name="Обычный 9 3" xfId="1411" xr:uid="{00000000-0005-0000-0000-000083050000}"/>
    <cellStyle name="Обычный 9 3 2" xfId="1412" xr:uid="{00000000-0005-0000-0000-000084050000}"/>
    <cellStyle name="Обычный 9 3 3" xfId="1413" xr:uid="{00000000-0005-0000-0000-000085050000}"/>
    <cellStyle name="Обычный 9 4" xfId="1414" xr:uid="{00000000-0005-0000-0000-000086050000}"/>
    <cellStyle name="Обычный 9 4 2" xfId="1415" xr:uid="{00000000-0005-0000-0000-000087050000}"/>
    <cellStyle name="Обычный 9 5" xfId="1416" xr:uid="{00000000-0005-0000-0000-000088050000}"/>
    <cellStyle name="Обычный 9 6" xfId="1417" xr:uid="{00000000-0005-0000-0000-000089050000}"/>
    <cellStyle name="Обычный 9 8" xfId="1418" xr:uid="{00000000-0005-0000-0000-00008A050000}"/>
    <cellStyle name="Плохой" xfId="1419" builtinId="27" customBuiltin="1"/>
    <cellStyle name="Плохой 2" xfId="1420" xr:uid="{00000000-0005-0000-0000-00008C050000}"/>
    <cellStyle name="Пояснение" xfId="1421" builtinId="53" customBuiltin="1"/>
    <cellStyle name="Пояснение 2" xfId="1422" xr:uid="{00000000-0005-0000-0000-00008E050000}"/>
    <cellStyle name="Примечание 10" xfId="1423" xr:uid="{00000000-0005-0000-0000-00008F050000}"/>
    <cellStyle name="Примечание 11" xfId="1424" xr:uid="{00000000-0005-0000-0000-000090050000}"/>
    <cellStyle name="Примечание 12" xfId="1425" xr:uid="{00000000-0005-0000-0000-000091050000}"/>
    <cellStyle name="Примечание 13" xfId="1426" xr:uid="{00000000-0005-0000-0000-000092050000}"/>
    <cellStyle name="Примечание 14" xfId="1427" xr:uid="{00000000-0005-0000-0000-000093050000}"/>
    <cellStyle name="Примечание 15" xfId="1428" xr:uid="{00000000-0005-0000-0000-000094050000}"/>
    <cellStyle name="Примечание 16" xfId="1429" xr:uid="{00000000-0005-0000-0000-000095050000}"/>
    <cellStyle name="Примечание 17" xfId="1430" xr:uid="{00000000-0005-0000-0000-000096050000}"/>
    <cellStyle name="Примечание 18" xfId="1431" xr:uid="{00000000-0005-0000-0000-000097050000}"/>
    <cellStyle name="Примечание 19" xfId="1432" xr:uid="{00000000-0005-0000-0000-000098050000}"/>
    <cellStyle name="Примечание 2" xfId="1433" xr:uid="{00000000-0005-0000-0000-000099050000}"/>
    <cellStyle name="Примечание 2 2" xfId="1434" xr:uid="{00000000-0005-0000-0000-00009A050000}"/>
    <cellStyle name="Примечание 2 3" xfId="1435" xr:uid="{00000000-0005-0000-0000-00009B050000}"/>
    <cellStyle name="Примечание 3" xfId="1436" xr:uid="{00000000-0005-0000-0000-00009C050000}"/>
    <cellStyle name="Примечание 3 2" xfId="1437" xr:uid="{00000000-0005-0000-0000-00009D050000}"/>
    <cellStyle name="Примечание 3 3" xfId="1438" xr:uid="{00000000-0005-0000-0000-00009E050000}"/>
    <cellStyle name="Примечание 4" xfId="1439" xr:uid="{00000000-0005-0000-0000-00009F050000}"/>
    <cellStyle name="Примечание 4 2" xfId="1440" xr:uid="{00000000-0005-0000-0000-0000A0050000}"/>
    <cellStyle name="Примечание 4 3" xfId="1441" xr:uid="{00000000-0005-0000-0000-0000A1050000}"/>
    <cellStyle name="Примечание 5" xfId="1442" xr:uid="{00000000-0005-0000-0000-0000A2050000}"/>
    <cellStyle name="Примечание 5 2" xfId="1443" xr:uid="{00000000-0005-0000-0000-0000A3050000}"/>
    <cellStyle name="Примечание 5 2 2" xfId="1444" xr:uid="{00000000-0005-0000-0000-0000A4050000}"/>
    <cellStyle name="Примечание 5 2 2 2" xfId="1445" xr:uid="{00000000-0005-0000-0000-0000A5050000}"/>
    <cellStyle name="Примечание 5 2 3" xfId="1446" xr:uid="{00000000-0005-0000-0000-0000A6050000}"/>
    <cellStyle name="Примечание 5 2 4" xfId="1447" xr:uid="{00000000-0005-0000-0000-0000A7050000}"/>
    <cellStyle name="Примечание 5 3" xfId="1448" xr:uid="{00000000-0005-0000-0000-0000A8050000}"/>
    <cellStyle name="Примечание 5 3 2" xfId="1449" xr:uid="{00000000-0005-0000-0000-0000A9050000}"/>
    <cellStyle name="Примечание 5 3 3" xfId="1450" xr:uid="{00000000-0005-0000-0000-0000AA050000}"/>
    <cellStyle name="Примечание 5 4" xfId="1451" xr:uid="{00000000-0005-0000-0000-0000AB050000}"/>
    <cellStyle name="Примечание 5 4 2" xfId="1452" xr:uid="{00000000-0005-0000-0000-0000AC050000}"/>
    <cellStyle name="Примечание 5 5" xfId="1453" xr:uid="{00000000-0005-0000-0000-0000AD050000}"/>
    <cellStyle name="Примечание 5 6" xfId="1454" xr:uid="{00000000-0005-0000-0000-0000AE050000}"/>
    <cellStyle name="Примечание 6" xfId="1455" xr:uid="{00000000-0005-0000-0000-0000AF050000}"/>
    <cellStyle name="Примечание 6 2" xfId="1456" xr:uid="{00000000-0005-0000-0000-0000B0050000}"/>
    <cellStyle name="Примечание 6 2 2" xfId="1457" xr:uid="{00000000-0005-0000-0000-0000B1050000}"/>
    <cellStyle name="Примечание 6 2 2 2" xfId="1458" xr:uid="{00000000-0005-0000-0000-0000B2050000}"/>
    <cellStyle name="Примечание 6 2 3" xfId="1459" xr:uid="{00000000-0005-0000-0000-0000B3050000}"/>
    <cellStyle name="Примечание 6 2 4" xfId="1460" xr:uid="{00000000-0005-0000-0000-0000B4050000}"/>
    <cellStyle name="Примечание 6 3" xfId="1461" xr:uid="{00000000-0005-0000-0000-0000B5050000}"/>
    <cellStyle name="Примечание 6 3 2" xfId="1462" xr:uid="{00000000-0005-0000-0000-0000B6050000}"/>
    <cellStyle name="Примечание 6 3 3" xfId="1463" xr:uid="{00000000-0005-0000-0000-0000B7050000}"/>
    <cellStyle name="Примечание 6 4" xfId="1464" xr:uid="{00000000-0005-0000-0000-0000B8050000}"/>
    <cellStyle name="Примечание 6 4 2" xfId="1465" xr:uid="{00000000-0005-0000-0000-0000B9050000}"/>
    <cellStyle name="Примечание 6 5" xfId="1466" xr:uid="{00000000-0005-0000-0000-0000BA050000}"/>
    <cellStyle name="Примечание 7" xfId="1467" xr:uid="{00000000-0005-0000-0000-0000BB050000}"/>
    <cellStyle name="Примечание 7 2" xfId="1468" xr:uid="{00000000-0005-0000-0000-0000BC050000}"/>
    <cellStyle name="Примечание 8" xfId="1469" xr:uid="{00000000-0005-0000-0000-0000BD050000}"/>
    <cellStyle name="Примечание 9" xfId="1470" xr:uid="{00000000-0005-0000-0000-0000BE050000}"/>
    <cellStyle name="Процентный" xfId="1471" builtinId="5"/>
    <cellStyle name="Процентный 2" xfId="1472" xr:uid="{00000000-0005-0000-0000-0000C0050000}"/>
    <cellStyle name="Процентный 2 2" xfId="1473" xr:uid="{00000000-0005-0000-0000-0000C1050000}"/>
    <cellStyle name="Процентный 2 2 2" xfId="1474" xr:uid="{00000000-0005-0000-0000-0000C2050000}"/>
    <cellStyle name="Процентный 2 2 2 2" xfId="1475" xr:uid="{00000000-0005-0000-0000-0000C3050000}"/>
    <cellStyle name="Процентный 2 2 2 2 2" xfId="1476" xr:uid="{00000000-0005-0000-0000-0000C4050000}"/>
    <cellStyle name="Процентный 2 2 2 3" xfId="1477" xr:uid="{00000000-0005-0000-0000-0000C5050000}"/>
    <cellStyle name="Процентный 2 2 2 4" xfId="1478" xr:uid="{00000000-0005-0000-0000-0000C6050000}"/>
    <cellStyle name="Процентный 2 2 3" xfId="1479" xr:uid="{00000000-0005-0000-0000-0000C7050000}"/>
    <cellStyle name="Процентный 2 2 3 2" xfId="1480" xr:uid="{00000000-0005-0000-0000-0000C8050000}"/>
    <cellStyle name="Процентный 2 2 3 3" xfId="1481" xr:uid="{00000000-0005-0000-0000-0000C9050000}"/>
    <cellStyle name="Процентный 2 2 4" xfId="1482" xr:uid="{00000000-0005-0000-0000-0000CA050000}"/>
    <cellStyle name="Процентный 2 2 5" xfId="1483" xr:uid="{00000000-0005-0000-0000-0000CB050000}"/>
    <cellStyle name="Процентный 2 3" xfId="1484" xr:uid="{00000000-0005-0000-0000-0000CC050000}"/>
    <cellStyle name="Процентный 2 3 2" xfId="1485" xr:uid="{00000000-0005-0000-0000-0000CD050000}"/>
    <cellStyle name="Процентный 2 3 2 2" xfId="1486" xr:uid="{00000000-0005-0000-0000-0000CE050000}"/>
    <cellStyle name="Процентный 2 3 3" xfId="1487" xr:uid="{00000000-0005-0000-0000-0000CF050000}"/>
    <cellStyle name="Процентный 2 3 4" xfId="1488" xr:uid="{00000000-0005-0000-0000-0000D0050000}"/>
    <cellStyle name="Процентный 2 4" xfId="1489" xr:uid="{00000000-0005-0000-0000-0000D1050000}"/>
    <cellStyle name="Процентный 2 4 2" xfId="1490" xr:uid="{00000000-0005-0000-0000-0000D2050000}"/>
    <cellStyle name="Процентный 2 4 3" xfId="1491" xr:uid="{00000000-0005-0000-0000-0000D3050000}"/>
    <cellStyle name="Процентный 2 5" xfId="1492" xr:uid="{00000000-0005-0000-0000-0000D4050000}"/>
    <cellStyle name="Процентный 2 6" xfId="1493" xr:uid="{00000000-0005-0000-0000-0000D5050000}"/>
    <cellStyle name="Процентный 3" xfId="1494" xr:uid="{00000000-0005-0000-0000-0000D6050000}"/>
    <cellStyle name="Процентный 4" xfId="1495" xr:uid="{00000000-0005-0000-0000-0000D7050000}"/>
    <cellStyle name="Связанная ячейка" xfId="1496" builtinId="24" customBuiltin="1"/>
    <cellStyle name="Связанная ячейка 2" xfId="1497" xr:uid="{00000000-0005-0000-0000-0000D9050000}"/>
    <cellStyle name="Текст предупреждения" xfId="1498" builtinId="11" customBuiltin="1"/>
    <cellStyle name="Текст предупреждения 2" xfId="1499" xr:uid="{00000000-0005-0000-0000-0000DB050000}"/>
    <cellStyle name="Финансовый 2" xfId="1500" xr:uid="{00000000-0005-0000-0000-0000DC050000}"/>
    <cellStyle name="Финансовый 2 2" xfId="1501" xr:uid="{00000000-0005-0000-0000-0000DD050000}"/>
    <cellStyle name="Финансовый 2 2 2" xfId="1502" xr:uid="{00000000-0005-0000-0000-0000DE050000}"/>
    <cellStyle name="Финансовый 2 2 2 2" xfId="1503" xr:uid="{00000000-0005-0000-0000-0000DF050000}"/>
    <cellStyle name="Финансовый 2 2 3" xfId="1504" xr:uid="{00000000-0005-0000-0000-0000E0050000}"/>
    <cellStyle name="Финансовый 2 2 4" xfId="1505" xr:uid="{00000000-0005-0000-0000-0000E1050000}"/>
    <cellStyle name="Финансовый 2 3" xfId="1506" xr:uid="{00000000-0005-0000-0000-0000E2050000}"/>
    <cellStyle name="Финансовый 2 3 2" xfId="1507" xr:uid="{00000000-0005-0000-0000-0000E3050000}"/>
    <cellStyle name="Финансовый 2 3 3" xfId="1508" xr:uid="{00000000-0005-0000-0000-0000E4050000}"/>
    <cellStyle name="Финансовый 2 4" xfId="1509" xr:uid="{00000000-0005-0000-0000-0000E5050000}"/>
    <cellStyle name="Финансовый 2 4 2" xfId="1510" xr:uid="{00000000-0005-0000-0000-0000E6050000}"/>
    <cellStyle name="Финансовый 2 5" xfId="1511" xr:uid="{00000000-0005-0000-0000-0000E7050000}"/>
    <cellStyle name="Финансовый 2 6" xfId="1512" xr:uid="{00000000-0005-0000-0000-0000E8050000}"/>
    <cellStyle name="Хороший" xfId="1513" builtinId="26" customBuiltin="1"/>
    <cellStyle name="Хороший 2" xfId="1514" xr:uid="{00000000-0005-0000-0000-0000EA050000}"/>
  </cellStyles>
  <dxfs count="2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>
          <bgColor theme="5" tint="0.79998168889431442"/>
        </patternFill>
      </fill>
    </dxf>
    <dxf>
      <fill>
        <patternFill>
          <bgColor rgb="FFFFAFA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119</xdr:row>
          <xdr:rowOff>85725</xdr:rowOff>
        </xdr:from>
        <xdr:to>
          <xdr:col>3</xdr:col>
          <xdr:colOff>571500</xdr:colOff>
          <xdr:row>119</xdr:row>
          <xdr:rowOff>381000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145</xdr:row>
          <xdr:rowOff>66675</xdr:rowOff>
        </xdr:from>
        <xdr:to>
          <xdr:col>3</xdr:col>
          <xdr:colOff>609600</xdr:colOff>
          <xdr:row>145</xdr:row>
          <xdr:rowOff>381000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Додати строку (строки)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123825</xdr:colOff>
          <xdr:row>0</xdr:row>
          <xdr:rowOff>104775</xdr:rowOff>
        </xdr:from>
        <xdr:to>
          <xdr:col>11</xdr:col>
          <xdr:colOff>0</xdr:colOff>
          <xdr:row>2</xdr:row>
          <xdr:rowOff>352425</xdr:rowOff>
        </xdr:to>
        <xdr:sp macro="" textlink="">
          <xdr:nvSpPr>
            <xdr:cNvPr id="29962" name="Button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1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uk-UA" sz="2800" b="1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ПОЧАТКОВІ ДАНІ </a:t>
              </a:r>
            </a:p>
            <a:p>
              <a:pPr algn="ctr" rtl="0">
                <a:defRPr sz="1000"/>
              </a:pPr>
              <a:r>
                <a:rPr lang="uk-UA" sz="2800" b="1" i="1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показати форму введення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895350</xdr:colOff>
          <xdr:row>38</xdr:row>
          <xdr:rowOff>438150</xdr:rowOff>
        </xdr:from>
        <xdr:to>
          <xdr:col>45</xdr:col>
          <xdr:colOff>38100</xdr:colOff>
          <xdr:row>41</xdr:row>
          <xdr:rowOff>57150</xdr:rowOff>
        </xdr:to>
        <xdr:sp macro="" textlink="">
          <xdr:nvSpPr>
            <xdr:cNvPr id="29971" name="Button 275" hidden="1">
              <a:extLst>
                <a:ext uri="{63B3BB69-23CF-44E3-9099-C40C66FF867C}">
                  <a14:compatExt spid="_x0000_s29971"/>
                </a:ext>
                <a:ext uri="{FF2B5EF4-FFF2-40B4-BE49-F238E27FC236}">
                  <a16:creationId xmlns:a16="http://schemas.microsoft.com/office/drawing/2014/main" id="{00000000-0008-0000-0100-00001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 16. Підвищ-ня винагороди за успіш. вик. завданнь; створення безпечних умов вик-ня бойових завдань та збереження життя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438150</xdr:colOff>
          <xdr:row>29</xdr:row>
          <xdr:rowOff>257175</xdr:rowOff>
        </xdr:from>
        <xdr:to>
          <xdr:col>39</xdr:col>
          <xdr:colOff>238125</xdr:colOff>
          <xdr:row>32</xdr:row>
          <xdr:rowOff>76200</xdr:rowOff>
        </xdr:to>
        <xdr:sp macro="" textlink="">
          <xdr:nvSpPr>
            <xdr:cNvPr id="29975" name="Button 279" hidden="1">
              <a:extLst>
                <a:ext uri="{63B3BB69-23CF-44E3-9099-C40C66FF867C}">
                  <a14:compatExt spid="_x0000_s29975"/>
                </a:ext>
                <a:ext uri="{FF2B5EF4-FFF2-40B4-BE49-F238E27FC236}">
                  <a16:creationId xmlns:a16="http://schemas.microsoft.com/office/drawing/2014/main" id="{00000000-0008-0000-0100-00001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Грошова премія згідно з Дисциплінарним статутом ЗСУ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381000</xdr:colOff>
          <xdr:row>22</xdr:row>
          <xdr:rowOff>47625</xdr:rowOff>
        </xdr:from>
        <xdr:to>
          <xdr:col>40</xdr:col>
          <xdr:colOff>466725</xdr:colOff>
          <xdr:row>24</xdr:row>
          <xdr:rowOff>152400</xdr:rowOff>
        </xdr:to>
        <xdr:sp macro="" textlink="">
          <xdr:nvSpPr>
            <xdr:cNvPr id="29990" name="Button 294" hidden="1">
              <a:extLst>
                <a:ext uri="{63B3BB69-23CF-44E3-9099-C40C66FF867C}">
                  <a14:compatExt spid="_x0000_s29990"/>
                </a:ext>
                <a:ext uri="{FF2B5EF4-FFF2-40B4-BE49-F238E27FC236}">
                  <a16:creationId xmlns:a16="http://schemas.microsoft.com/office/drawing/2014/main" id="{00000000-0008-0000-0100-00002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Матеріальна допомога для вирішення соц.-побут. питань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352425</xdr:colOff>
          <xdr:row>11</xdr:row>
          <xdr:rowOff>47625</xdr:rowOff>
        </xdr:from>
        <xdr:to>
          <xdr:col>41</xdr:col>
          <xdr:colOff>180975</xdr:colOff>
          <xdr:row>14</xdr:row>
          <xdr:rowOff>114300</xdr:rowOff>
        </xdr:to>
        <xdr:sp macro="" textlink="">
          <xdr:nvSpPr>
            <xdr:cNvPr id="29997" name="Button 301" hidden="1">
              <a:extLst>
                <a:ext uri="{63B3BB69-23CF-44E3-9099-C40C66FF867C}">
                  <a14:compatExt spid="_x0000_s29997"/>
                </a:ext>
                <a:ext uri="{FF2B5EF4-FFF2-40B4-BE49-F238E27FC236}">
                  <a16:creationId xmlns:a16="http://schemas.microsoft.com/office/drawing/2014/main" id="{00000000-0008-0000-0100-00002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600" b="1" i="0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Внесення наявних залишків (корегування раніше наданої потреби)</a:t>
              </a:r>
              <a:endParaRPr lang="uk-UA" sz="1600" b="0" i="0" u="none" strike="noStrike" baseline="0">
                <a:solidFill>
                  <a:srgbClr val="FF0000"/>
                </a:solidFill>
                <a:latin typeface="Arial Cyr"/>
                <a:cs typeface="Arial Cyr"/>
              </a:endParaRPr>
            </a:p>
            <a:p>
              <a:pPr algn="ctr" rtl="0">
                <a:defRPr sz="1000"/>
              </a:pPr>
              <a:r>
                <a:rPr lang="uk-UA" sz="1600" b="0" i="1" u="none" strike="noStrike" baseline="0">
                  <a:solidFill>
                    <a:srgbClr val="FF0000"/>
                  </a:solidFill>
                  <a:latin typeface="Arial Cyr"/>
                  <a:cs typeface="Arial Cyr"/>
                </a:rPr>
                <a:t>показати форму введеня або зміни даних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1114425</xdr:colOff>
          <xdr:row>52</xdr:row>
          <xdr:rowOff>114300</xdr:rowOff>
        </xdr:from>
        <xdr:to>
          <xdr:col>34</xdr:col>
          <xdr:colOff>428625</xdr:colOff>
          <xdr:row>53</xdr:row>
          <xdr:rowOff>285750</xdr:rowOff>
        </xdr:to>
        <xdr:sp macro="" textlink="">
          <xdr:nvSpPr>
            <xdr:cNvPr id="29998" name="Button 302" hidden="1">
              <a:extLst>
                <a:ext uri="{63B3BB69-23CF-44E3-9099-C40C66FF867C}">
                  <a14:compatExt spid="_x0000_s29998"/>
                </a:ext>
                <a:ext uri="{FF2B5EF4-FFF2-40B4-BE49-F238E27FC236}">
                  <a16:creationId xmlns:a16="http://schemas.microsoft.com/office/drawing/2014/main" id="{00000000-0008-0000-0100-00002E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Перевірити версію</a:t>
              </a:r>
            </a:p>
            <a:p>
              <a:pPr algn="ctr" rtl="0">
                <a:defRPr sz="1000"/>
              </a:pPr>
              <a:r>
                <a:rPr lang="uk-UA" sz="1000" b="0" i="0" u="none" strike="noStrike" baseline="0">
                  <a:solidFill>
                    <a:srgbClr val="0000FF"/>
                  </a:solidFill>
                  <a:latin typeface="Arial Cyr"/>
                  <a:cs typeface="Arial Cyr"/>
                </a:rPr>
                <a:t>(через Інтернет)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B15"/>
  <sheetViews>
    <sheetView tabSelected="1" zoomScale="115" zoomScaleNormal="100" zoomScaleSheetLayoutView="115" workbookViewId="0">
      <selection activeCell="P4" sqref="P4"/>
    </sheetView>
  </sheetViews>
  <sheetFormatPr defaultRowHeight="11.25" x14ac:dyDescent="0.2"/>
  <cols>
    <col min="1" max="16384" width="9.140625" style="83"/>
  </cols>
  <sheetData>
    <row r="1" spans="1:28" ht="32.25" customHeight="1" x14ac:dyDescent="0.2">
      <c r="A1" s="236" t="s">
        <v>163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</row>
    <row r="2" spans="1:28" s="84" customFormat="1" ht="32.25" customHeight="1" x14ac:dyDescent="0.2">
      <c r="A2" s="234" t="s">
        <v>157</v>
      </c>
      <c r="B2" s="234"/>
      <c r="C2" s="234"/>
      <c r="D2" s="234"/>
      <c r="E2" s="234"/>
      <c r="F2" s="234"/>
      <c r="G2" s="234"/>
      <c r="H2" s="234"/>
      <c r="I2" s="234"/>
      <c r="J2" s="234"/>
      <c r="K2" s="234"/>
    </row>
    <row r="3" spans="1:28" s="84" customFormat="1" ht="32.25" customHeight="1" x14ac:dyDescent="0.2">
      <c r="A3" s="234" t="s">
        <v>158</v>
      </c>
      <c r="B3" s="234"/>
      <c r="C3" s="234"/>
      <c r="D3" s="234"/>
      <c r="E3" s="234"/>
      <c r="F3" s="234"/>
      <c r="G3" s="234"/>
      <c r="H3" s="234"/>
      <c r="I3" s="234"/>
      <c r="J3" s="234"/>
      <c r="K3" s="234"/>
      <c r="AB3" s="84">
        <v>50001</v>
      </c>
    </row>
    <row r="4" spans="1:28" s="84" customFormat="1" ht="45.75" customHeight="1" x14ac:dyDescent="0.2">
      <c r="A4" s="234" t="s">
        <v>159</v>
      </c>
      <c r="B4" s="234"/>
      <c r="C4" s="234"/>
      <c r="D4" s="234"/>
      <c r="E4" s="234"/>
      <c r="F4" s="234"/>
      <c r="G4" s="234"/>
      <c r="H4" s="234"/>
      <c r="I4" s="234"/>
      <c r="J4" s="234"/>
      <c r="K4" s="234"/>
    </row>
    <row r="5" spans="1:28" s="84" customFormat="1" ht="50.25" customHeight="1" x14ac:dyDescent="0.2">
      <c r="A5" s="234" t="s">
        <v>160</v>
      </c>
      <c r="B5" s="234"/>
      <c r="C5" s="234"/>
      <c r="D5" s="234"/>
      <c r="E5" s="234"/>
      <c r="F5" s="234"/>
      <c r="G5" s="234"/>
      <c r="H5" s="234"/>
      <c r="I5" s="234"/>
      <c r="J5" s="234"/>
      <c r="K5" s="234"/>
    </row>
    <row r="6" spans="1:28" s="84" customFormat="1" ht="32.25" customHeight="1" x14ac:dyDescent="0.2">
      <c r="A6" s="234" t="s">
        <v>161</v>
      </c>
      <c r="B6" s="234"/>
      <c r="C6" s="234"/>
      <c r="D6" s="234"/>
      <c r="E6" s="234"/>
      <c r="F6" s="234"/>
      <c r="G6" s="234"/>
      <c r="H6" s="234"/>
      <c r="I6" s="234"/>
      <c r="J6" s="234"/>
      <c r="K6" s="234"/>
    </row>
    <row r="7" spans="1:28" s="84" customFormat="1" ht="32.25" customHeight="1" x14ac:dyDescent="0.2">
      <c r="A7" s="234" t="s">
        <v>162</v>
      </c>
      <c r="B7" s="234"/>
      <c r="C7" s="234"/>
      <c r="D7" s="234"/>
      <c r="E7" s="234"/>
      <c r="F7" s="234"/>
      <c r="G7" s="234"/>
      <c r="H7" s="234"/>
      <c r="I7" s="234"/>
      <c r="J7" s="234"/>
      <c r="K7" s="234"/>
    </row>
    <row r="8" spans="1:28" ht="32.25" customHeight="1" x14ac:dyDescent="0.2">
      <c r="A8" s="235" t="s">
        <v>164</v>
      </c>
      <c r="B8" s="235"/>
      <c r="C8" s="235"/>
      <c r="D8" s="235"/>
      <c r="E8" s="235"/>
      <c r="F8" s="235"/>
      <c r="G8" s="235"/>
      <c r="H8" s="235"/>
      <c r="I8" s="235"/>
      <c r="J8" s="235"/>
      <c r="K8" s="235"/>
    </row>
    <row r="9" spans="1:28" ht="5.25" customHeight="1" x14ac:dyDescent="0.2"/>
    <row r="10" spans="1:28" s="165" customFormat="1" ht="41.25" customHeight="1" x14ac:dyDescent="0.2">
      <c r="A10" s="238" t="s">
        <v>195</v>
      </c>
      <c r="B10" s="238"/>
      <c r="C10" s="238"/>
      <c r="D10" s="238"/>
      <c r="E10" s="238"/>
      <c r="F10" s="238"/>
      <c r="G10" s="238"/>
      <c r="H10" s="238"/>
      <c r="I10" s="238"/>
      <c r="J10" s="238"/>
      <c r="K10" s="238"/>
    </row>
    <row r="11" spans="1:28" s="165" customFormat="1" ht="21.75" customHeight="1" x14ac:dyDescent="0.2">
      <c r="A11" s="237" t="s">
        <v>196</v>
      </c>
      <c r="B11" s="237"/>
      <c r="C11" s="237"/>
      <c r="D11" s="237"/>
      <c r="E11" s="237"/>
      <c r="F11" s="237"/>
      <c r="G11" s="237"/>
      <c r="H11" s="237"/>
      <c r="I11" s="237"/>
      <c r="J11" s="237"/>
      <c r="K11" s="237"/>
    </row>
    <row r="12" spans="1:28" s="165" customFormat="1" ht="34.5" customHeight="1" x14ac:dyDescent="0.2">
      <c r="A12" s="237" t="s">
        <v>197</v>
      </c>
      <c r="B12" s="237"/>
      <c r="C12" s="237"/>
      <c r="D12" s="237"/>
      <c r="E12" s="237"/>
      <c r="F12" s="237"/>
      <c r="G12" s="237"/>
      <c r="H12" s="237"/>
      <c r="I12" s="237"/>
      <c r="J12" s="237"/>
      <c r="K12" s="237"/>
    </row>
    <row r="13" spans="1:28" s="165" customFormat="1" ht="27.75" customHeight="1" x14ac:dyDescent="0.2">
      <c r="A13" s="237" t="s">
        <v>198</v>
      </c>
      <c r="B13" s="237"/>
      <c r="C13" s="237"/>
      <c r="D13" s="237"/>
      <c r="E13" s="237"/>
      <c r="F13" s="237"/>
      <c r="G13" s="237"/>
      <c r="H13" s="237"/>
      <c r="I13" s="237"/>
      <c r="J13" s="237"/>
      <c r="K13" s="237"/>
    </row>
    <row r="14" spans="1:28" s="165" customFormat="1" ht="27.75" customHeight="1" x14ac:dyDescent="0.2">
      <c r="A14" s="237" t="s">
        <v>199</v>
      </c>
      <c r="B14" s="237"/>
      <c r="C14" s="237"/>
      <c r="D14" s="237"/>
      <c r="E14" s="237"/>
      <c r="F14" s="237"/>
      <c r="G14" s="237"/>
      <c r="H14" s="237"/>
      <c r="I14" s="237"/>
      <c r="J14" s="237"/>
      <c r="K14" s="237"/>
    </row>
    <row r="15" spans="1:28" s="165" customFormat="1" ht="27.75" customHeight="1" x14ac:dyDescent="0.2">
      <c r="A15" s="237" t="s">
        <v>200</v>
      </c>
      <c r="B15" s="237"/>
      <c r="C15" s="237"/>
      <c r="D15" s="237"/>
      <c r="E15" s="237"/>
      <c r="F15" s="237"/>
      <c r="G15" s="237"/>
      <c r="H15" s="237"/>
      <c r="I15" s="237"/>
      <c r="J15" s="237"/>
      <c r="K15" s="237"/>
    </row>
  </sheetData>
  <sheetProtection password="CC6D" sheet="1" selectLockedCells="1" selectUnlockedCells="1"/>
  <dataConsolidate/>
  <mergeCells count="14">
    <mergeCell ref="A15:K15"/>
    <mergeCell ref="A10:K10"/>
    <mergeCell ref="A11:K11"/>
    <mergeCell ref="A12:K12"/>
    <mergeCell ref="A13:K13"/>
    <mergeCell ref="A14:K14"/>
    <mergeCell ref="A7:K7"/>
    <mergeCell ref="A8:K8"/>
    <mergeCell ref="A1:K1"/>
    <mergeCell ref="A2:K2"/>
    <mergeCell ref="A3:K3"/>
    <mergeCell ref="A4:K4"/>
    <mergeCell ref="A5:K5"/>
    <mergeCell ref="A6:K6"/>
  </mergeCells>
  <phoneticPr fontId="32" type="noConversion"/>
  <pageMargins left="0.75" right="0.75" top="1" bottom="1" header="0.5" footer="0.5"/>
  <pageSetup paperSize="9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4">
    <tabColor theme="5" tint="0.39997558519241921"/>
    <pageSetUpPr fitToPage="1"/>
  </sheetPr>
  <dimension ref="A1:BF241"/>
  <sheetViews>
    <sheetView showZeros="0" view="pageBreakPreview" zoomScale="70" zoomScaleNormal="70" zoomScaleSheetLayoutView="70" workbookViewId="0">
      <selection activeCell="B27" sqref="B27:I33"/>
    </sheetView>
  </sheetViews>
  <sheetFormatPr defaultRowHeight="15" x14ac:dyDescent="0.2"/>
  <cols>
    <col min="1" max="1" width="13.42578125" style="49" customWidth="1"/>
    <col min="2" max="2" width="4.7109375" style="49" customWidth="1"/>
    <col min="3" max="3" width="9.28515625" style="49" customWidth="1"/>
    <col min="4" max="4" width="10.140625" style="49" customWidth="1"/>
    <col min="5" max="5" width="10.28515625" style="49" customWidth="1"/>
    <col min="6" max="6" width="11.5703125" style="49" customWidth="1"/>
    <col min="7" max="7" width="14.85546875" style="49" customWidth="1"/>
    <col min="8" max="8" width="14.42578125" style="49" customWidth="1"/>
    <col min="9" max="9" width="13.7109375" style="49" customWidth="1"/>
    <col min="10" max="11" width="12.42578125" style="49" customWidth="1"/>
    <col min="12" max="12" width="14.5703125" style="49" customWidth="1"/>
    <col min="13" max="13" width="10.85546875" style="49" customWidth="1"/>
    <col min="14" max="14" width="4.42578125" style="49" customWidth="1"/>
    <col min="15" max="15" width="7.42578125" style="49" customWidth="1"/>
    <col min="16" max="16" width="11.140625" style="49" customWidth="1"/>
    <col min="17" max="18" width="10.140625" style="49" customWidth="1"/>
    <col min="19" max="19" width="6.42578125" style="49" customWidth="1"/>
    <col min="20" max="20" width="13.42578125" style="49" customWidth="1"/>
    <col min="21" max="21" width="17.42578125" style="49" customWidth="1"/>
    <col min="22" max="22" width="10.5703125" style="49" customWidth="1"/>
    <col min="23" max="23" width="9.28515625" style="49" customWidth="1"/>
    <col min="24" max="26" width="12.42578125" style="49" customWidth="1"/>
    <col min="27" max="27" width="15.42578125" style="49" customWidth="1"/>
    <col min="28" max="28" width="13.28515625" style="49" customWidth="1"/>
    <col min="29" max="29" width="7.42578125" style="49" customWidth="1"/>
    <col min="30" max="30" width="15.28515625" style="49" customWidth="1"/>
    <col min="31" max="31" width="19.42578125" style="49" customWidth="1"/>
    <col min="32" max="32" width="16.7109375" style="62" customWidth="1"/>
    <col min="33" max="33" width="11.140625" style="49" customWidth="1"/>
    <col min="34" max="34" width="9.140625" style="49"/>
    <col min="35" max="35" width="11.140625" style="49" customWidth="1"/>
    <col min="36" max="43" width="16.140625" style="49" customWidth="1"/>
    <col min="44" max="44" width="15.7109375" style="49" bestFit="1" customWidth="1"/>
    <col min="45" max="45" width="15.140625" style="49" bestFit="1" customWidth="1"/>
    <col min="46" max="55" width="12.5703125" style="49" bestFit="1" customWidth="1"/>
    <col min="56" max="57" width="13.42578125" style="49" customWidth="1"/>
    <col min="58" max="58" width="15.85546875" style="49" customWidth="1"/>
    <col min="59" max="16384" width="9.140625" style="49"/>
  </cols>
  <sheetData>
    <row r="1" spans="1:44" ht="20.25" customHeight="1" x14ac:dyDescent="0.2">
      <c r="V1" s="670" t="s">
        <v>266</v>
      </c>
      <c r="W1" s="670"/>
      <c r="X1" s="670"/>
      <c r="Y1" s="670"/>
      <c r="Z1" s="670"/>
      <c r="AA1" s="670"/>
      <c r="AB1" s="670"/>
      <c r="AC1" s="670"/>
      <c r="AD1" s="670"/>
      <c r="AE1" s="670"/>
      <c r="AF1" s="663" t="s">
        <v>298</v>
      </c>
      <c r="AG1" s="663"/>
    </row>
    <row r="2" spans="1:44" ht="34.5" customHeight="1" x14ac:dyDescent="0.2">
      <c r="V2" s="670"/>
      <c r="W2" s="670"/>
      <c r="X2" s="670"/>
      <c r="Y2" s="670"/>
      <c r="Z2" s="670"/>
      <c r="AA2" s="670"/>
      <c r="AB2" s="670"/>
      <c r="AC2" s="670"/>
      <c r="AD2" s="670"/>
      <c r="AE2" s="670"/>
      <c r="AF2" s="161">
        <v>100000</v>
      </c>
      <c r="AG2" s="161">
        <v>50000</v>
      </c>
      <c r="AH2" s="161">
        <v>30000</v>
      </c>
    </row>
    <row r="3" spans="1:44" ht="33" x14ac:dyDescent="0.2">
      <c r="A3" s="51"/>
      <c r="B3" s="51"/>
      <c r="C3" s="51"/>
      <c r="D3" s="51"/>
      <c r="E3" s="51"/>
      <c r="F3" s="51"/>
      <c r="G3" s="51"/>
      <c r="H3" s="51"/>
      <c r="I3" s="1"/>
      <c r="J3" s="1"/>
      <c r="K3" s="1"/>
      <c r="L3" s="1"/>
      <c r="M3" s="1"/>
      <c r="N3" s="1"/>
      <c r="O3" s="1"/>
      <c r="P3" s="1"/>
      <c r="Q3" s="1"/>
      <c r="V3" s="26" t="s">
        <v>5</v>
      </c>
      <c r="W3" s="25"/>
      <c r="X3" s="25"/>
      <c r="Y3" s="27"/>
      <c r="Z3" s="67"/>
      <c r="AA3" s="67"/>
      <c r="AB3" s="664"/>
      <c r="AC3" s="665"/>
      <c r="AD3" s="665"/>
      <c r="AE3" s="665"/>
      <c r="AF3" s="666" t="str">
        <f ca="1">MID(CELL("имяфайла",A1),SEARCH("]",CELL("имяфайла",A1))+1,LEN(CELL("имяфайла",A1)))</f>
        <v>Заявка</v>
      </c>
      <c r="AG3" s="666"/>
    </row>
    <row r="4" spans="1:44" ht="11.25" customHeight="1" x14ac:dyDescent="0.2">
      <c r="A4" s="669" t="s">
        <v>2</v>
      </c>
      <c r="B4" s="669"/>
      <c r="C4" s="669"/>
      <c r="D4" s="669"/>
      <c r="E4" s="669"/>
      <c r="F4" s="669"/>
      <c r="G4" s="669"/>
      <c r="H4" s="69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52"/>
      <c r="AB4" s="52"/>
      <c r="AC4" s="53"/>
      <c r="AD4" s="53"/>
    </row>
    <row r="5" spans="1:44" ht="33" x14ac:dyDescent="0.2">
      <c r="A5" s="667"/>
      <c r="B5" s="667"/>
      <c r="C5" s="667"/>
      <c r="D5" s="668"/>
      <c r="E5" s="668"/>
      <c r="F5" s="668"/>
      <c r="G5" s="138"/>
      <c r="H5" s="556"/>
      <c r="I5" s="556"/>
      <c r="J5" s="556"/>
      <c r="K5" s="556"/>
      <c r="L5" s="556"/>
      <c r="M5" s="556"/>
      <c r="N5" s="556"/>
      <c r="O5" s="556"/>
      <c r="P5" s="556"/>
      <c r="Q5" s="556"/>
      <c r="R5" s="556"/>
      <c r="S5" s="556"/>
      <c r="T5" s="556"/>
      <c r="U5" s="556"/>
      <c r="V5" s="556"/>
      <c r="W5" s="556"/>
      <c r="X5" s="556"/>
      <c r="Y5" s="556"/>
      <c r="Z5" s="556"/>
      <c r="AA5" s="138"/>
      <c r="AB5" s="138"/>
      <c r="AC5" s="138"/>
      <c r="AD5" s="53"/>
    </row>
    <row r="6" spans="1:44" ht="33" customHeight="1" x14ac:dyDescent="0.2">
      <c r="A6" s="335" t="s">
        <v>265</v>
      </c>
      <c r="B6" s="335"/>
      <c r="C6" s="335"/>
      <c r="D6" s="335"/>
      <c r="E6" s="335"/>
      <c r="F6" s="335"/>
      <c r="G6" s="335"/>
      <c r="H6" s="335"/>
      <c r="I6" s="335"/>
      <c r="J6" s="335"/>
      <c r="K6" s="335"/>
      <c r="L6" s="335"/>
      <c r="M6" s="335"/>
      <c r="N6" s="335"/>
      <c r="O6" s="335"/>
      <c r="P6" s="335"/>
      <c r="Q6" s="335"/>
      <c r="R6" s="335"/>
      <c r="S6" s="335"/>
      <c r="T6" s="335"/>
      <c r="U6" s="335"/>
      <c r="V6" s="335"/>
      <c r="W6" s="335"/>
      <c r="X6" s="335"/>
      <c r="Y6" s="335"/>
      <c r="Z6" s="335"/>
      <c r="AA6" s="335"/>
      <c r="AB6" s="335"/>
      <c r="AC6" s="335"/>
      <c r="AD6" s="335"/>
      <c r="AE6" s="335"/>
    </row>
    <row r="7" spans="1:44" ht="33" x14ac:dyDescent="0.4">
      <c r="C7" s="54"/>
      <c r="D7" s="139"/>
      <c r="E7" s="140"/>
      <c r="F7" s="140"/>
      <c r="G7" s="140"/>
      <c r="H7" s="556"/>
      <c r="I7" s="556"/>
      <c r="J7" s="556"/>
      <c r="K7" s="556"/>
      <c r="L7" s="556"/>
      <c r="M7" s="556"/>
      <c r="N7" s="556"/>
      <c r="O7" s="556"/>
      <c r="P7" s="556"/>
      <c r="Q7" s="556"/>
      <c r="R7" s="556"/>
      <c r="S7" s="556"/>
      <c r="T7" s="556"/>
      <c r="U7" s="556"/>
      <c r="V7" s="556"/>
      <c r="W7" s="556"/>
      <c r="X7" s="556"/>
      <c r="Y7" s="556"/>
      <c r="Z7" s="556"/>
      <c r="AA7" s="141"/>
      <c r="AB7" s="141"/>
      <c r="AC7" s="141"/>
      <c r="AD7" s="53"/>
    </row>
    <row r="8" spans="1:44" ht="33" x14ac:dyDescent="0.2">
      <c r="C8" s="5"/>
      <c r="D8" s="142"/>
      <c r="E8" s="141"/>
      <c r="F8" s="141"/>
      <c r="G8" s="141"/>
      <c r="H8" s="556"/>
      <c r="I8" s="556"/>
      <c r="J8" s="556"/>
      <c r="K8" s="556"/>
      <c r="L8" s="556"/>
      <c r="M8" s="556"/>
      <c r="N8" s="556"/>
      <c r="O8" s="556"/>
      <c r="P8" s="556"/>
      <c r="Q8" s="556"/>
      <c r="R8" s="556"/>
      <c r="S8" s="556"/>
      <c r="T8" s="556"/>
      <c r="U8" s="556"/>
      <c r="V8" s="556"/>
      <c r="W8" s="556"/>
      <c r="X8" s="556"/>
      <c r="Y8" s="556"/>
      <c r="Z8" s="556"/>
      <c r="AA8" s="141"/>
      <c r="AB8" s="141"/>
      <c r="AC8" s="141"/>
      <c r="AD8" s="53"/>
    </row>
    <row r="9" spans="1:44" s="50" customFormat="1" ht="33.75" thickBot="1" x14ac:dyDescent="0.4">
      <c r="A9" s="565" t="s">
        <v>6</v>
      </c>
      <c r="B9" s="565"/>
      <c r="C9" s="566"/>
      <c r="D9" s="566"/>
      <c r="E9" s="566"/>
      <c r="F9" s="566"/>
      <c r="G9" s="566"/>
      <c r="H9" s="68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3"/>
      <c r="Y9" s="3"/>
      <c r="Z9" s="4"/>
      <c r="AA9" s="8"/>
      <c r="AB9" s="8"/>
      <c r="AC9" s="53"/>
      <c r="AD9" s="53"/>
      <c r="AE9" s="47" t="s">
        <v>4</v>
      </c>
      <c r="AF9" s="63"/>
    </row>
    <row r="10" spans="1:44" s="50" customFormat="1" ht="33.75" customHeight="1" thickTop="1" thickBot="1" x14ac:dyDescent="0.25">
      <c r="A10" s="691" t="s">
        <v>11</v>
      </c>
      <c r="B10" s="673"/>
      <c r="C10" s="699" t="s">
        <v>299</v>
      </c>
      <c r="D10" s="700"/>
      <c r="E10" s="700"/>
      <c r="F10" s="700"/>
      <c r="G10" s="700"/>
      <c r="H10" s="701"/>
      <c r="I10" s="672" t="s">
        <v>254</v>
      </c>
      <c r="J10" s="673"/>
      <c r="K10" s="673"/>
      <c r="L10" s="673"/>
      <c r="M10" s="673"/>
      <c r="N10" s="673"/>
      <c r="O10" s="673"/>
      <c r="P10" s="673"/>
      <c r="Q10" s="673"/>
      <c r="R10" s="673"/>
      <c r="S10" s="673"/>
      <c r="T10" s="673"/>
      <c r="U10" s="673"/>
      <c r="V10" s="673"/>
      <c r="W10" s="673"/>
      <c r="X10" s="673"/>
      <c r="Y10" s="673"/>
      <c r="Z10" s="673"/>
      <c r="AA10" s="673"/>
      <c r="AB10" s="673"/>
      <c r="AC10" s="673"/>
      <c r="AD10" s="673"/>
      <c r="AE10" s="674"/>
      <c r="AF10" s="596"/>
    </row>
    <row r="11" spans="1:44" ht="17.25" customHeight="1" x14ac:dyDescent="0.2">
      <c r="A11" s="692"/>
      <c r="B11" s="693"/>
      <c r="C11" s="702"/>
      <c r="D11" s="703"/>
      <c r="E11" s="703"/>
      <c r="F11" s="703"/>
      <c r="G11" s="703"/>
      <c r="H11" s="704"/>
      <c r="I11" s="598" t="s">
        <v>165</v>
      </c>
      <c r="J11" s="599"/>
      <c r="K11" s="599"/>
      <c r="L11" s="599"/>
      <c r="M11" s="678" t="s">
        <v>21</v>
      </c>
      <c r="N11" s="679"/>
      <c r="O11" s="679"/>
      <c r="P11" s="680"/>
      <c r="Q11" s="678" t="s">
        <v>22</v>
      </c>
      <c r="R11" s="679"/>
      <c r="S11" s="680"/>
      <c r="T11" s="678" t="s">
        <v>23</v>
      </c>
      <c r="U11" s="680"/>
      <c r="V11" s="581" t="s">
        <v>166</v>
      </c>
      <c r="W11" s="581"/>
      <c r="X11" s="581"/>
      <c r="Y11" s="655" t="s">
        <v>255</v>
      </c>
      <c r="Z11" s="656"/>
      <c r="AA11" s="296" t="s">
        <v>267</v>
      </c>
      <c r="AB11" s="297"/>
      <c r="AC11" s="298"/>
      <c r="AD11" s="687" t="s">
        <v>260</v>
      </c>
      <c r="AE11" s="336" t="s">
        <v>259</v>
      </c>
      <c r="AF11" s="596"/>
    </row>
    <row r="12" spans="1:44" ht="11.25" customHeight="1" x14ac:dyDescent="0.2">
      <c r="A12" s="692"/>
      <c r="B12" s="693"/>
      <c r="C12" s="702"/>
      <c r="D12" s="703"/>
      <c r="E12" s="703"/>
      <c r="F12" s="703"/>
      <c r="G12" s="703"/>
      <c r="H12" s="704"/>
      <c r="I12" s="600"/>
      <c r="J12" s="601"/>
      <c r="K12" s="601"/>
      <c r="L12" s="601"/>
      <c r="M12" s="681"/>
      <c r="N12" s="682"/>
      <c r="O12" s="682"/>
      <c r="P12" s="683"/>
      <c r="Q12" s="681"/>
      <c r="R12" s="682"/>
      <c r="S12" s="683"/>
      <c r="T12" s="681"/>
      <c r="U12" s="683"/>
      <c r="V12" s="582"/>
      <c r="W12" s="582"/>
      <c r="X12" s="582"/>
      <c r="Y12" s="657"/>
      <c r="Z12" s="658"/>
      <c r="AA12" s="299"/>
      <c r="AB12" s="300"/>
      <c r="AC12" s="301"/>
      <c r="AD12" s="688"/>
      <c r="AE12" s="337"/>
      <c r="AF12" s="596"/>
    </row>
    <row r="13" spans="1:44" ht="11.25" customHeight="1" x14ac:dyDescent="0.2">
      <c r="A13" s="692"/>
      <c r="B13" s="693"/>
      <c r="C13" s="702"/>
      <c r="D13" s="703"/>
      <c r="E13" s="703"/>
      <c r="F13" s="703"/>
      <c r="G13" s="703"/>
      <c r="H13" s="704"/>
      <c r="I13" s="600"/>
      <c r="J13" s="601"/>
      <c r="K13" s="601"/>
      <c r="L13" s="601"/>
      <c r="M13" s="681"/>
      <c r="N13" s="682"/>
      <c r="O13" s="682"/>
      <c r="P13" s="683"/>
      <c r="Q13" s="681"/>
      <c r="R13" s="682"/>
      <c r="S13" s="683"/>
      <c r="T13" s="681"/>
      <c r="U13" s="683"/>
      <c r="V13" s="582"/>
      <c r="W13" s="582"/>
      <c r="X13" s="582"/>
      <c r="Y13" s="657"/>
      <c r="Z13" s="658"/>
      <c r="AA13" s="299"/>
      <c r="AB13" s="300"/>
      <c r="AC13" s="301"/>
      <c r="AD13" s="688"/>
      <c r="AE13" s="337"/>
      <c r="AF13" s="596"/>
    </row>
    <row r="14" spans="1:44" ht="25.5" customHeight="1" x14ac:dyDescent="0.2">
      <c r="A14" s="692"/>
      <c r="B14" s="693"/>
      <c r="C14" s="702"/>
      <c r="D14" s="703"/>
      <c r="E14" s="703"/>
      <c r="F14" s="703"/>
      <c r="G14" s="703"/>
      <c r="H14" s="704"/>
      <c r="I14" s="600"/>
      <c r="J14" s="601"/>
      <c r="K14" s="601"/>
      <c r="L14" s="601"/>
      <c r="M14" s="681"/>
      <c r="N14" s="682"/>
      <c r="O14" s="682"/>
      <c r="P14" s="683"/>
      <c r="Q14" s="681"/>
      <c r="R14" s="682"/>
      <c r="S14" s="683"/>
      <c r="T14" s="681"/>
      <c r="U14" s="683"/>
      <c r="V14" s="582"/>
      <c r="W14" s="582"/>
      <c r="X14" s="582"/>
      <c r="Y14" s="657"/>
      <c r="Z14" s="658"/>
      <c r="AA14" s="299"/>
      <c r="AB14" s="300"/>
      <c r="AC14" s="301"/>
      <c r="AD14" s="688"/>
      <c r="AE14" s="337"/>
      <c r="AF14" s="596"/>
    </row>
    <row r="15" spans="1:44" ht="26.25" customHeight="1" x14ac:dyDescent="0.2">
      <c r="A15" s="692"/>
      <c r="B15" s="693"/>
      <c r="C15" s="705"/>
      <c r="D15" s="706"/>
      <c r="E15" s="706"/>
      <c r="F15" s="706"/>
      <c r="G15" s="706"/>
      <c r="H15" s="707"/>
      <c r="I15" s="600"/>
      <c r="J15" s="601"/>
      <c r="K15" s="601"/>
      <c r="L15" s="601"/>
      <c r="M15" s="681"/>
      <c r="N15" s="682"/>
      <c r="O15" s="682"/>
      <c r="P15" s="683"/>
      <c r="Q15" s="681"/>
      <c r="R15" s="682"/>
      <c r="S15" s="683"/>
      <c r="T15" s="681"/>
      <c r="U15" s="683"/>
      <c r="V15" s="582"/>
      <c r="W15" s="582"/>
      <c r="X15" s="582"/>
      <c r="Y15" s="657"/>
      <c r="Z15" s="658"/>
      <c r="AA15" s="299"/>
      <c r="AB15" s="300"/>
      <c r="AC15" s="301"/>
      <c r="AD15" s="688"/>
      <c r="AE15" s="337"/>
      <c r="AF15" s="596"/>
      <c r="AJ15" s="181" t="s">
        <v>251</v>
      </c>
      <c r="AK15" s="182"/>
      <c r="AL15" s="182"/>
      <c r="AM15" s="182"/>
      <c r="AN15" s="182"/>
      <c r="AO15" s="182"/>
      <c r="AP15" s="182"/>
      <c r="AQ15" s="182"/>
    </row>
    <row r="16" spans="1:44" ht="49.5" customHeight="1" thickBot="1" x14ac:dyDescent="0.25">
      <c r="A16" s="694"/>
      <c r="B16" s="695"/>
      <c r="C16" s="708" t="s">
        <v>55</v>
      </c>
      <c r="D16" s="709"/>
      <c r="E16" s="597" t="s">
        <v>255</v>
      </c>
      <c r="F16" s="597"/>
      <c r="G16" s="196" t="s">
        <v>263</v>
      </c>
      <c r="H16" s="195" t="s">
        <v>262</v>
      </c>
      <c r="I16" s="602"/>
      <c r="J16" s="603"/>
      <c r="K16" s="603"/>
      <c r="L16" s="603"/>
      <c r="M16" s="684"/>
      <c r="N16" s="685"/>
      <c r="O16" s="685"/>
      <c r="P16" s="686"/>
      <c r="Q16" s="684"/>
      <c r="R16" s="685"/>
      <c r="S16" s="686"/>
      <c r="T16" s="684"/>
      <c r="U16" s="686"/>
      <c r="V16" s="583"/>
      <c r="W16" s="583"/>
      <c r="X16" s="583"/>
      <c r="Y16" s="659"/>
      <c r="Z16" s="660"/>
      <c r="AA16" s="302"/>
      <c r="AB16" s="303"/>
      <c r="AC16" s="304"/>
      <c r="AD16" s="689"/>
      <c r="AE16" s="338"/>
      <c r="AF16" s="596"/>
      <c r="AJ16" s="188" t="s">
        <v>165</v>
      </c>
      <c r="AK16" s="188" t="s">
        <v>21</v>
      </c>
      <c r="AL16" s="188" t="s">
        <v>22</v>
      </c>
      <c r="AM16" s="188" t="s">
        <v>252</v>
      </c>
      <c r="AN16" s="188" t="s">
        <v>253</v>
      </c>
      <c r="AO16" s="188" t="s">
        <v>142</v>
      </c>
      <c r="AP16" s="188" t="s">
        <v>250</v>
      </c>
      <c r="AQ16" s="188" t="s">
        <v>25</v>
      </c>
      <c r="AR16" s="188" t="s">
        <v>262</v>
      </c>
    </row>
    <row r="17" spans="1:44" s="7" customFormat="1" ht="37.5" customHeight="1" thickBot="1" x14ac:dyDescent="0.25">
      <c r="A17" s="696" t="s">
        <v>258</v>
      </c>
      <c r="B17" s="697"/>
      <c r="C17" s="698">
        <f>AO17</f>
        <v>0</v>
      </c>
      <c r="D17" s="671"/>
      <c r="E17" s="671">
        <f>AP17</f>
        <v>0</v>
      </c>
      <c r="F17" s="671"/>
      <c r="G17" s="194">
        <f>AQ17</f>
        <v>0</v>
      </c>
      <c r="H17" s="198">
        <f>AR17</f>
        <v>0</v>
      </c>
      <c r="I17" s="675">
        <f>ROUND($AE$89+Q119-SUMIF(AG116:AG118,1,Q116:Q118)+S119-SUMIF(AG116:AG118,1,S116:S118)+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 -SUMIF(AG116:AG118,1,Q116:Q118)+S119-SUMIF(E116:E118,"в/с строк. служби",S116:S118)-SUMIF(AG116:AG118,1,S116:S118)))*0.18-AJ17,0)</f>
        <v>0</v>
      </c>
      <c r="J17" s="676"/>
      <c r="K17" s="676"/>
      <c r="L17" s="677"/>
      <c r="M17" s="690">
        <f>ROUND(($AD$25+V119-SUMIF(AG116:AG118,1,V116:V118))*1.18-AK17,0)</f>
        <v>0</v>
      </c>
      <c r="N17" s="690"/>
      <c r="O17" s="690"/>
      <c r="P17" s="690"/>
      <c r="Q17" s="690">
        <f>ROUND(($AD$26+X119-SUMIF(AG116:AG118,1,X116:X118))*1.18-AL17,0)</f>
        <v>0</v>
      </c>
      <c r="R17" s="690"/>
      <c r="S17" s="690"/>
      <c r="T17" s="690">
        <f>ROUND(SUM($AD$29:$AE$38),0)+ROUND((SUM($AD$29:$AE$38)-AD29-AD31-AD33-AD34)*0.18,0)+ROUND($AD$23*1.18+$AD$24,0)+ROUND($AD$27*1.18,0)+ROUND($AD$28,0)+ROUND(Z119-SUMIF(AG116:AG118,1,Z116:Z118)+(Z119-SUMIF(E116:E118,"в/с строк. служби",Z116:Z118)-SUMIF(AG116:AG118,1,Z116:Z118))*0.18-AM17,0)</f>
        <v>0</v>
      </c>
      <c r="U17" s="690"/>
      <c r="V17" s="690">
        <f>ROUND(M119-SUMIF(AG116:AG118,1,M116:N118)+(O119-SUMIF(AG116:AG118,1,O116:O118)+U119-SUMIF(AG116:AG118,1,U116:U118))*1.18-AN17,0)</f>
        <v>0</v>
      </c>
      <c r="W17" s="690"/>
      <c r="X17" s="690"/>
      <c r="Y17" s="661">
        <f>ROUNDUP((AD39-(C46+C47)*AB40-(E46+E47)*AB41-(G46+G47)*AB42)*1.18+(C46+C47)*AB40+(E46+E47)*AB41+(G46+G47)*AB42-E17,0)</f>
        <v>0</v>
      </c>
      <c r="Z17" s="306"/>
      <c r="AA17" s="305">
        <f>ROUNDUP(IF(SUM(I17:Z17)&lt;0,0,SUM(I17:Z17)),0)</f>
        <v>0</v>
      </c>
      <c r="AB17" s="306"/>
      <c r="AC17" s="307"/>
      <c r="AD17" s="200">
        <f ca="1">ROUNDUP(IF((Q48-G17)&lt;0,0,(Q48-G17)),0)</f>
        <v>0</v>
      </c>
      <c r="AE17" s="199">
        <f>ROUNDUP(IF((AE119-H17)&lt;0,0,(AE119-H17)),0)</f>
        <v>0</v>
      </c>
      <c r="AF17" s="60"/>
      <c r="AJ17" s="189">
        <v>0</v>
      </c>
      <c r="AK17" s="189">
        <v>0</v>
      </c>
      <c r="AL17" s="189">
        <v>0</v>
      </c>
      <c r="AM17" s="189">
        <v>0</v>
      </c>
      <c r="AN17" s="189">
        <v>0</v>
      </c>
      <c r="AO17" s="189">
        <v>0</v>
      </c>
      <c r="AP17" s="189">
        <v>0</v>
      </c>
      <c r="AQ17" s="189">
        <v>0</v>
      </c>
      <c r="AR17" s="189">
        <v>0</v>
      </c>
    </row>
    <row r="18" spans="1:44" s="7" customFormat="1" ht="37.5" customHeight="1" thickBot="1" x14ac:dyDescent="0.25">
      <c r="A18" s="651" t="s">
        <v>10</v>
      </c>
      <c r="B18" s="652"/>
      <c r="C18" s="641">
        <f>AO18</f>
        <v>0</v>
      </c>
      <c r="D18" s="632"/>
      <c r="E18" s="632">
        <f>AP18</f>
        <v>0</v>
      </c>
      <c r="F18" s="632"/>
      <c r="G18" s="192" t="s">
        <v>0</v>
      </c>
      <c r="H18" s="193" t="s">
        <v>0</v>
      </c>
      <c r="I18" s="308">
        <f>ROUND((($AE$89-(M67*M68+N67*N68+M71*M72+M73*M74+M75*M76+N75*N76+M87*M88+N87*N88+AC67*AC68+AB75*AB76+AC75*AC76+AB77*AB78+AC77*AC78+AB79*AB80+AC79*AC80+AB81*AB82+AC81*AC82+AB83*AB84+AC83*AC84+AB85*AB86+AC85*AC86+AB87*AB88+AC87*AC88)+(Q119-SUMIF(E116:E118,"в/с строк. служби",Q116:Q118)-SUMIF(AG116:AG118,1,Q116:Q118)+S119-SUMIF(E116:E118,"в/с строк. служби",S116:S118)-SUMIF(AG116:AG118,1,S116:S118)))*0.22)+AD48-AJ18,0)</f>
        <v>0</v>
      </c>
      <c r="J18" s="309"/>
      <c r="K18" s="309"/>
      <c r="L18" s="580"/>
      <c r="M18" s="557">
        <f>ROUND(($AD$25+V119-SUMIF(AG116:AG118,1,V116:V118))*0.22-AK18,0)</f>
        <v>0</v>
      </c>
      <c r="N18" s="557"/>
      <c r="O18" s="557"/>
      <c r="P18" s="557"/>
      <c r="Q18" s="557">
        <f>ROUND(($AD$26+X119-SUMIF(AG116:AG118,1,X116:X118))*0.22-AL18,0)</f>
        <v>0</v>
      </c>
      <c r="R18" s="557"/>
      <c r="S18" s="557"/>
      <c r="T18" s="557">
        <f>ROUND(($AD$27+SUM($AD$29:$AE$38,-AD34)+$AD$28)*0.22-AM18,0)</f>
        <v>0</v>
      </c>
      <c r="U18" s="557"/>
      <c r="V18" s="557">
        <f>ROUND((U119-SUMIF(AG116:AG118,1,U116:U118))*0.22-AN18,0)</f>
        <v>0</v>
      </c>
      <c r="W18" s="557"/>
      <c r="X18" s="557"/>
      <c r="Y18" s="662">
        <f>ROUNDUP((AD39-((C46+C47)*AB40+(E46+E47)*AB41+(G46+G47)*AB42))*0.22-E18,0)</f>
        <v>0</v>
      </c>
      <c r="Z18" s="309"/>
      <c r="AA18" s="308">
        <f>ROUNDUP(IF(SUM(I18:Z18)&lt;0,0,SUM(I18:Z18)),0)</f>
        <v>0</v>
      </c>
      <c r="AB18" s="309"/>
      <c r="AC18" s="310"/>
      <c r="AD18" s="191" t="s">
        <v>0</v>
      </c>
      <c r="AE18" s="197" t="s">
        <v>0</v>
      </c>
      <c r="AF18" s="61"/>
      <c r="AJ18" s="189">
        <v>0</v>
      </c>
      <c r="AK18" s="189">
        <v>0</v>
      </c>
      <c r="AL18" s="189">
        <v>0</v>
      </c>
      <c r="AM18" s="189">
        <v>0</v>
      </c>
      <c r="AN18" s="189">
        <v>0</v>
      </c>
      <c r="AO18" s="189">
        <v>0</v>
      </c>
      <c r="AP18" s="189">
        <v>0</v>
      </c>
      <c r="AQ18" s="189">
        <v>0</v>
      </c>
      <c r="AR18" s="189">
        <v>0</v>
      </c>
    </row>
    <row r="19" spans="1:44" ht="11.25" customHeight="1" thickTop="1" thickBot="1" x14ac:dyDescent="0.25"/>
    <row r="20" spans="1:44" ht="24.95" customHeight="1" thickTop="1" thickBot="1" x14ac:dyDescent="0.25">
      <c r="A20" s="614" t="s">
        <v>143</v>
      </c>
      <c r="B20" s="615"/>
      <c r="C20" s="615"/>
      <c r="D20" s="615"/>
      <c r="E20" s="615"/>
      <c r="F20" s="615"/>
      <c r="G20" s="615"/>
      <c r="H20" s="615"/>
      <c r="I20" s="615"/>
      <c r="J20" s="615"/>
      <c r="K20" s="615"/>
      <c r="L20" s="615"/>
      <c r="M20" s="615"/>
      <c r="N20" s="615"/>
      <c r="O20" s="615"/>
      <c r="P20" s="615"/>
      <c r="Q20" s="615"/>
      <c r="R20" s="616"/>
      <c r="S20" s="12"/>
      <c r="T20" s="636" t="s">
        <v>87</v>
      </c>
      <c r="U20" s="637"/>
      <c r="V20" s="637"/>
      <c r="W20" s="637"/>
      <c r="X20" s="637"/>
      <c r="Y20" s="637"/>
      <c r="Z20" s="637"/>
      <c r="AA20" s="637"/>
      <c r="AB20" s="637"/>
      <c r="AC20" s="637"/>
      <c r="AD20" s="637"/>
      <c r="AE20" s="638"/>
    </row>
    <row r="21" spans="1:44" ht="21" customHeight="1" thickBot="1" x14ac:dyDescent="0.25">
      <c r="A21" s="617"/>
      <c r="B21" s="618"/>
      <c r="C21" s="618"/>
      <c r="D21" s="618"/>
      <c r="E21" s="618"/>
      <c r="F21" s="618"/>
      <c r="G21" s="618"/>
      <c r="H21" s="618"/>
      <c r="I21" s="618"/>
      <c r="J21" s="618"/>
      <c r="K21" s="618"/>
      <c r="L21" s="618"/>
      <c r="M21" s="618"/>
      <c r="N21" s="618"/>
      <c r="O21" s="618"/>
      <c r="P21" s="618"/>
      <c r="Q21" s="618"/>
      <c r="R21" s="619"/>
      <c r="S21" s="12"/>
      <c r="T21" s="626" t="s">
        <v>76</v>
      </c>
      <c r="U21" s="627"/>
      <c r="V21" s="627"/>
      <c r="W21" s="627"/>
      <c r="X21" s="627"/>
      <c r="Y21" s="627"/>
      <c r="Z21" s="628"/>
      <c r="AA21" s="573" t="s">
        <v>92</v>
      </c>
      <c r="AB21" s="558" t="s">
        <v>60</v>
      </c>
      <c r="AC21" s="588"/>
      <c r="AD21" s="558" t="s">
        <v>8</v>
      </c>
      <c r="AE21" s="559"/>
    </row>
    <row r="22" spans="1:44" ht="15.75" customHeight="1" thickBot="1" x14ac:dyDescent="0.25">
      <c r="A22" s="575" t="s">
        <v>9</v>
      </c>
      <c r="B22" s="609" t="s">
        <v>243</v>
      </c>
      <c r="C22" s="653"/>
      <c r="D22" s="567" t="s">
        <v>245</v>
      </c>
      <c r="E22" s="568"/>
      <c r="F22" s="633" t="s">
        <v>246</v>
      </c>
      <c r="G22" s="568"/>
      <c r="H22" s="604" t="s">
        <v>244</v>
      </c>
      <c r="I22" s="605"/>
      <c r="J22" s="639" t="s">
        <v>19</v>
      </c>
      <c r="K22" s="605"/>
      <c r="L22" s="642" t="s">
        <v>61</v>
      </c>
      <c r="M22" s="643"/>
      <c r="N22" s="644"/>
      <c r="O22" s="620" t="s">
        <v>91</v>
      </c>
      <c r="P22" s="621"/>
      <c r="Q22" s="621"/>
      <c r="R22" s="622"/>
      <c r="S22" s="13"/>
      <c r="T22" s="629"/>
      <c r="U22" s="630"/>
      <c r="V22" s="630"/>
      <c r="W22" s="630"/>
      <c r="X22" s="630"/>
      <c r="Y22" s="630"/>
      <c r="Z22" s="631"/>
      <c r="AA22" s="574"/>
      <c r="AB22" s="560"/>
      <c r="AC22" s="589"/>
      <c r="AD22" s="560"/>
      <c r="AE22" s="561"/>
    </row>
    <row r="23" spans="1:44" ht="23.1" customHeight="1" thickBot="1" x14ac:dyDescent="0.25">
      <c r="A23" s="575"/>
      <c r="B23" s="609"/>
      <c r="C23" s="653"/>
      <c r="D23" s="569"/>
      <c r="E23" s="570"/>
      <c r="F23" s="634"/>
      <c r="G23" s="570"/>
      <c r="H23" s="604"/>
      <c r="I23" s="605"/>
      <c r="J23" s="640"/>
      <c r="K23" s="607"/>
      <c r="L23" s="645"/>
      <c r="M23" s="646"/>
      <c r="N23" s="647"/>
      <c r="O23" s="623"/>
      <c r="P23" s="624"/>
      <c r="Q23" s="624"/>
      <c r="R23" s="625"/>
      <c r="S23" s="13"/>
      <c r="T23" s="577" t="s">
        <v>89</v>
      </c>
      <c r="U23" s="578"/>
      <c r="V23" s="578"/>
      <c r="W23" s="578"/>
      <c r="X23" s="578"/>
      <c r="Y23" s="578"/>
      <c r="Z23" s="579"/>
      <c r="AA23" s="104"/>
      <c r="AB23" s="263"/>
      <c r="AC23" s="562"/>
      <c r="AD23" s="563">
        <f t="shared" ref="AD23:AD29" si="0">ROUND((AA23*AB23),0)</f>
        <v>0</v>
      </c>
      <c r="AE23" s="564"/>
    </row>
    <row r="24" spans="1:44" ht="23.1" customHeight="1" x14ac:dyDescent="0.2">
      <c r="A24" s="575"/>
      <c r="B24" s="609"/>
      <c r="C24" s="653"/>
      <c r="D24" s="569"/>
      <c r="E24" s="570"/>
      <c r="F24" s="634"/>
      <c r="G24" s="570"/>
      <c r="H24" s="604"/>
      <c r="I24" s="605"/>
      <c r="J24" s="608" t="s">
        <v>24</v>
      </c>
      <c r="K24" s="611" t="s">
        <v>26</v>
      </c>
      <c r="L24" s="645"/>
      <c r="M24" s="646"/>
      <c r="N24" s="647"/>
      <c r="O24" s="623"/>
      <c r="P24" s="624"/>
      <c r="Q24" s="624"/>
      <c r="R24" s="625"/>
      <c r="S24" s="13"/>
      <c r="T24" s="512" t="s">
        <v>88</v>
      </c>
      <c r="U24" s="513"/>
      <c r="V24" s="513"/>
      <c r="W24" s="513"/>
      <c r="X24" s="513"/>
      <c r="Y24" s="513"/>
      <c r="Z24" s="514"/>
      <c r="AA24" s="113"/>
      <c r="AB24" s="516"/>
      <c r="AC24" s="517"/>
      <c r="AD24" s="508">
        <f t="shared" si="0"/>
        <v>0</v>
      </c>
      <c r="AE24" s="509"/>
    </row>
    <row r="25" spans="1:44" ht="23.1" customHeight="1" x14ac:dyDescent="0.2">
      <c r="A25" s="575"/>
      <c r="B25" s="609"/>
      <c r="C25" s="653"/>
      <c r="D25" s="569"/>
      <c r="E25" s="570"/>
      <c r="F25" s="634"/>
      <c r="G25" s="570"/>
      <c r="H25" s="604"/>
      <c r="I25" s="605"/>
      <c r="J25" s="609"/>
      <c r="K25" s="612"/>
      <c r="L25" s="645"/>
      <c r="M25" s="646"/>
      <c r="N25" s="647"/>
      <c r="O25" s="593" t="s">
        <v>27</v>
      </c>
      <c r="P25" s="552"/>
      <c r="Q25" s="552" t="s">
        <v>20</v>
      </c>
      <c r="R25" s="553"/>
      <c r="S25" s="13"/>
      <c r="T25" s="512" t="s">
        <v>56</v>
      </c>
      <c r="U25" s="513"/>
      <c r="V25" s="513"/>
      <c r="W25" s="513"/>
      <c r="X25" s="513"/>
      <c r="Y25" s="513"/>
      <c r="Z25" s="514"/>
      <c r="AA25" s="113"/>
      <c r="AB25" s="516"/>
      <c r="AC25" s="517"/>
      <c r="AD25" s="501">
        <f t="shared" si="0"/>
        <v>0</v>
      </c>
      <c r="AE25" s="502"/>
    </row>
    <row r="26" spans="1:44" ht="23.1" customHeight="1" thickBot="1" x14ac:dyDescent="0.25">
      <c r="A26" s="576"/>
      <c r="B26" s="610"/>
      <c r="C26" s="654"/>
      <c r="D26" s="571"/>
      <c r="E26" s="572"/>
      <c r="F26" s="635"/>
      <c r="G26" s="572"/>
      <c r="H26" s="606"/>
      <c r="I26" s="607"/>
      <c r="J26" s="610"/>
      <c r="K26" s="613"/>
      <c r="L26" s="648"/>
      <c r="M26" s="649"/>
      <c r="N26" s="650"/>
      <c r="O26" s="594"/>
      <c r="P26" s="554"/>
      <c r="Q26" s="554"/>
      <c r="R26" s="555"/>
      <c r="T26" s="512" t="s">
        <v>57</v>
      </c>
      <c r="U26" s="513"/>
      <c r="V26" s="513"/>
      <c r="W26" s="513"/>
      <c r="X26" s="513"/>
      <c r="Y26" s="513"/>
      <c r="Z26" s="514"/>
      <c r="AA26" s="178">
        <v>0</v>
      </c>
      <c r="AB26" s="540">
        <v>0</v>
      </c>
      <c r="AC26" s="541"/>
      <c r="AD26" s="501">
        <f t="shared" si="0"/>
        <v>0</v>
      </c>
      <c r="AE26" s="502"/>
      <c r="AG26" s="180"/>
      <c r="AH26" s="187">
        <v>0</v>
      </c>
      <c r="AI26" s="187">
        <v>0</v>
      </c>
      <c r="AJ26" s="187">
        <v>0</v>
      </c>
      <c r="AK26" s="187">
        <v>0</v>
      </c>
      <c r="AL26" s="187">
        <v>0</v>
      </c>
      <c r="AM26" s="187">
        <v>0</v>
      </c>
      <c r="AN26" s="187">
        <v>0</v>
      </c>
      <c r="AO26" s="187">
        <v>0</v>
      </c>
      <c r="AP26" s="187">
        <v>0</v>
      </c>
    </row>
    <row r="27" spans="1:44" ht="23.1" customHeight="1" x14ac:dyDescent="0.2">
      <c r="A27" s="126" t="s">
        <v>13</v>
      </c>
      <c r="B27" s="584"/>
      <c r="C27" s="585"/>
      <c r="D27" s="586"/>
      <c r="E27" s="587"/>
      <c r="F27" s="595"/>
      <c r="G27" s="587"/>
      <c r="H27" s="544">
        <f t="shared" ref="H27:H32" si="1">SUM(B27,D27)-SUM(F27)</f>
        <v>0</v>
      </c>
      <c r="I27" s="545"/>
      <c r="J27" s="127"/>
      <c r="K27" s="128"/>
      <c r="L27" s="590">
        <f t="shared" ref="L27:L32" si="2">SUM(H27)-SUM(J27,K27)</f>
        <v>0</v>
      </c>
      <c r="M27" s="591"/>
      <c r="N27" s="592"/>
      <c r="O27" s="542"/>
      <c r="P27" s="543"/>
      <c r="Q27" s="546"/>
      <c r="R27" s="547"/>
      <c r="T27" s="512" t="s">
        <v>85</v>
      </c>
      <c r="U27" s="513"/>
      <c r="V27" s="513"/>
      <c r="W27" s="513"/>
      <c r="X27" s="513"/>
      <c r="Y27" s="513"/>
      <c r="Z27" s="514"/>
      <c r="AA27" s="113"/>
      <c r="AB27" s="516"/>
      <c r="AC27" s="517"/>
      <c r="AD27" s="501">
        <f t="shared" si="0"/>
        <v>0</v>
      </c>
      <c r="AE27" s="502"/>
    </row>
    <row r="28" spans="1:44" ht="23.1" customHeight="1" x14ac:dyDescent="0.2">
      <c r="A28" s="129" t="s">
        <v>14</v>
      </c>
      <c r="B28" s="718"/>
      <c r="C28" s="719"/>
      <c r="D28" s="711"/>
      <c r="E28" s="526"/>
      <c r="F28" s="525"/>
      <c r="G28" s="526"/>
      <c r="H28" s="527">
        <f t="shared" si="1"/>
        <v>0</v>
      </c>
      <c r="I28" s="528"/>
      <c r="J28" s="130"/>
      <c r="K28" s="131"/>
      <c r="L28" s="531">
        <f t="shared" si="2"/>
        <v>0</v>
      </c>
      <c r="M28" s="532"/>
      <c r="N28" s="533"/>
      <c r="O28" s="550"/>
      <c r="P28" s="551"/>
      <c r="Q28" s="548"/>
      <c r="R28" s="549"/>
      <c r="T28" s="512" t="s">
        <v>58</v>
      </c>
      <c r="U28" s="513"/>
      <c r="V28" s="513"/>
      <c r="W28" s="513"/>
      <c r="X28" s="513"/>
      <c r="Y28" s="513"/>
      <c r="Z28" s="514"/>
      <c r="AA28" s="113"/>
      <c r="AB28" s="516"/>
      <c r="AC28" s="517"/>
      <c r="AD28" s="501">
        <f t="shared" si="0"/>
        <v>0</v>
      </c>
      <c r="AE28" s="502"/>
    </row>
    <row r="29" spans="1:44" ht="23.1" customHeight="1" x14ac:dyDescent="0.2">
      <c r="A29" s="129" t="s">
        <v>15</v>
      </c>
      <c r="B29" s="718"/>
      <c r="C29" s="719"/>
      <c r="D29" s="711"/>
      <c r="E29" s="526"/>
      <c r="F29" s="525"/>
      <c r="G29" s="526"/>
      <c r="H29" s="527">
        <f t="shared" si="1"/>
        <v>0</v>
      </c>
      <c r="I29" s="528"/>
      <c r="J29" s="130"/>
      <c r="K29" s="131"/>
      <c r="L29" s="531">
        <f t="shared" si="2"/>
        <v>0</v>
      </c>
      <c r="M29" s="532"/>
      <c r="N29" s="533"/>
      <c r="O29" s="550"/>
      <c r="P29" s="551"/>
      <c r="Q29" s="548"/>
      <c r="R29" s="549"/>
      <c r="T29" s="512" t="s">
        <v>63</v>
      </c>
      <c r="U29" s="513"/>
      <c r="V29" s="513"/>
      <c r="W29" s="513"/>
      <c r="X29" s="513"/>
      <c r="Y29" s="513"/>
      <c r="Z29" s="514"/>
      <c r="AA29" s="515"/>
      <c r="AB29" s="518"/>
      <c r="AC29" s="519"/>
      <c r="AD29" s="508">
        <f t="shared" si="0"/>
        <v>0</v>
      </c>
      <c r="AE29" s="509"/>
    </row>
    <row r="30" spans="1:44" ht="23.1" customHeight="1" x14ac:dyDescent="0.2">
      <c r="A30" s="129" t="s">
        <v>16</v>
      </c>
      <c r="B30" s="718"/>
      <c r="C30" s="719"/>
      <c r="D30" s="711"/>
      <c r="E30" s="526"/>
      <c r="F30" s="525"/>
      <c r="G30" s="526"/>
      <c r="H30" s="527">
        <f t="shared" si="1"/>
        <v>0</v>
      </c>
      <c r="I30" s="528"/>
      <c r="J30" s="130"/>
      <c r="K30" s="131"/>
      <c r="L30" s="531">
        <f t="shared" si="2"/>
        <v>0</v>
      </c>
      <c r="M30" s="532"/>
      <c r="N30" s="533"/>
      <c r="O30" s="550"/>
      <c r="P30" s="551"/>
      <c r="Q30" s="548"/>
      <c r="R30" s="549"/>
      <c r="T30" s="512"/>
      <c r="U30" s="513"/>
      <c r="V30" s="513"/>
      <c r="W30" s="513"/>
      <c r="X30" s="513"/>
      <c r="Y30" s="513"/>
      <c r="Z30" s="514"/>
      <c r="AA30" s="515"/>
      <c r="AB30" s="520"/>
      <c r="AC30" s="521"/>
      <c r="AD30" s="508"/>
      <c r="AE30" s="509"/>
    </row>
    <row r="31" spans="1:44" ht="23.1" customHeight="1" x14ac:dyDescent="0.2">
      <c r="A31" s="129" t="s">
        <v>17</v>
      </c>
      <c r="B31" s="718"/>
      <c r="C31" s="719"/>
      <c r="D31" s="711"/>
      <c r="E31" s="526"/>
      <c r="F31" s="525"/>
      <c r="G31" s="526"/>
      <c r="H31" s="527">
        <f t="shared" si="1"/>
        <v>0</v>
      </c>
      <c r="I31" s="528"/>
      <c r="J31" s="130"/>
      <c r="K31" s="131"/>
      <c r="L31" s="531">
        <f t="shared" si="2"/>
        <v>0</v>
      </c>
      <c r="M31" s="532"/>
      <c r="N31" s="533"/>
      <c r="O31" s="522" t="s">
        <v>0</v>
      </c>
      <c r="P31" s="523"/>
      <c r="Q31" s="523" t="s">
        <v>0</v>
      </c>
      <c r="R31" s="539"/>
      <c r="T31" s="512" t="s">
        <v>62</v>
      </c>
      <c r="U31" s="513"/>
      <c r="V31" s="513"/>
      <c r="W31" s="513"/>
      <c r="X31" s="513"/>
      <c r="Y31" s="513"/>
      <c r="Z31" s="514"/>
      <c r="AA31" s="515"/>
      <c r="AB31" s="518"/>
      <c r="AC31" s="519"/>
      <c r="AD31" s="508">
        <f>ROUND((AA31*AB31),0)</f>
        <v>0</v>
      </c>
      <c r="AE31" s="509"/>
    </row>
    <row r="32" spans="1:44" ht="23.1" customHeight="1" thickBot="1" x14ac:dyDescent="0.25">
      <c r="A32" s="132" t="s">
        <v>18</v>
      </c>
      <c r="B32" s="732"/>
      <c r="C32" s="733"/>
      <c r="D32" s="710"/>
      <c r="E32" s="530"/>
      <c r="F32" s="529"/>
      <c r="G32" s="530"/>
      <c r="H32" s="537">
        <f t="shared" si="1"/>
        <v>0</v>
      </c>
      <c r="I32" s="538"/>
      <c r="J32" s="133"/>
      <c r="K32" s="134"/>
      <c r="L32" s="534">
        <f t="shared" si="2"/>
        <v>0</v>
      </c>
      <c r="M32" s="535"/>
      <c r="N32" s="536"/>
      <c r="O32" s="510" t="s">
        <v>0</v>
      </c>
      <c r="P32" s="511"/>
      <c r="Q32" s="511" t="s">
        <v>0</v>
      </c>
      <c r="R32" s="524"/>
      <c r="T32" s="512"/>
      <c r="U32" s="513"/>
      <c r="V32" s="513"/>
      <c r="W32" s="513"/>
      <c r="X32" s="513"/>
      <c r="Y32" s="513"/>
      <c r="Z32" s="514"/>
      <c r="AA32" s="515"/>
      <c r="AB32" s="520"/>
      <c r="AC32" s="521"/>
      <c r="AD32" s="508"/>
      <c r="AE32" s="509"/>
    </row>
    <row r="33" spans="1:40" ht="23.1" customHeight="1" thickBot="1" x14ac:dyDescent="0.25">
      <c r="A33" s="135" t="s">
        <v>1</v>
      </c>
      <c r="B33" s="726">
        <f>SUM(B27:C32)</f>
        <v>0</v>
      </c>
      <c r="C33" s="727"/>
      <c r="D33" s="734">
        <f>SUM(D27:E32)</f>
        <v>0</v>
      </c>
      <c r="E33" s="735"/>
      <c r="F33" s="736">
        <f>SUM(F27:G32)</f>
        <v>0</v>
      </c>
      <c r="G33" s="735"/>
      <c r="H33" s="756">
        <f>SUM(H27:I32)</f>
        <v>0</v>
      </c>
      <c r="I33" s="757"/>
      <c r="J33" s="136">
        <f>SUM(J27:J32)</f>
        <v>0</v>
      </c>
      <c r="K33" s="137">
        <f>SUM(K27:K32)</f>
        <v>0</v>
      </c>
      <c r="L33" s="734">
        <f>SUM(L27:N32)</f>
        <v>0</v>
      </c>
      <c r="M33" s="737"/>
      <c r="N33" s="735"/>
      <c r="O33" s="736">
        <f>SUM(O27:P30)</f>
        <v>0</v>
      </c>
      <c r="P33" s="737"/>
      <c r="Q33" s="737">
        <f>SUM(Q27:R30)</f>
        <v>0</v>
      </c>
      <c r="R33" s="738"/>
      <c r="T33" s="512" t="s">
        <v>90</v>
      </c>
      <c r="U33" s="513"/>
      <c r="V33" s="513"/>
      <c r="W33" s="513"/>
      <c r="X33" s="513"/>
      <c r="Y33" s="513"/>
      <c r="Z33" s="514"/>
      <c r="AA33" s="113"/>
      <c r="AB33" s="516"/>
      <c r="AC33" s="517"/>
      <c r="AD33" s="508">
        <f>ROUND((AA33*AB33),0)</f>
        <v>0</v>
      </c>
      <c r="AE33" s="509"/>
    </row>
    <row r="34" spans="1:40" ht="23.1" customHeight="1" thickTop="1" thickBot="1" x14ac:dyDescent="0.25">
      <c r="A34" s="24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2"/>
      <c r="N34" s="22"/>
      <c r="O34" s="23"/>
      <c r="P34" s="23"/>
      <c r="Q34" s="23"/>
      <c r="R34" s="23"/>
      <c r="T34" s="512" t="s">
        <v>59</v>
      </c>
      <c r="U34" s="513"/>
      <c r="V34" s="513"/>
      <c r="W34" s="513"/>
      <c r="X34" s="513"/>
      <c r="Y34" s="513"/>
      <c r="Z34" s="514"/>
      <c r="AA34" s="113"/>
      <c r="AB34" s="516"/>
      <c r="AC34" s="517"/>
      <c r="AD34" s="501">
        <f>ROUND((AA34*AB34),0)</f>
        <v>0</v>
      </c>
      <c r="AE34" s="502"/>
      <c r="AG34" s="93"/>
      <c r="AH34" s="93" t="s">
        <v>173</v>
      </c>
      <c r="AI34" s="93" t="s">
        <v>174</v>
      </c>
      <c r="AJ34" s="93" t="s">
        <v>175</v>
      </c>
      <c r="AK34" s="93" t="s">
        <v>176</v>
      </c>
      <c r="AL34" s="93" t="s">
        <v>177</v>
      </c>
      <c r="AM34" s="93" t="s">
        <v>178</v>
      </c>
      <c r="AN34" s="93" t="s">
        <v>201</v>
      </c>
    </row>
    <row r="35" spans="1:40" ht="23.1" customHeight="1" thickTop="1" x14ac:dyDescent="0.2">
      <c r="A35" s="745" t="s">
        <v>278</v>
      </c>
      <c r="B35" s="746"/>
      <c r="C35" s="746"/>
      <c r="D35" s="746"/>
      <c r="E35" s="746"/>
      <c r="F35" s="746"/>
      <c r="G35" s="746"/>
      <c r="H35" s="747"/>
      <c r="I35" s="758" t="s">
        <v>140</v>
      </c>
      <c r="J35" s="759"/>
      <c r="K35" s="759"/>
      <c r="L35" s="759"/>
      <c r="M35" s="759"/>
      <c r="N35" s="759"/>
      <c r="O35" s="759"/>
      <c r="P35" s="759"/>
      <c r="Q35" s="759"/>
      <c r="R35" s="760"/>
      <c r="S35" s="9"/>
      <c r="T35" s="503" t="s">
        <v>172</v>
      </c>
      <c r="U35" s="504"/>
      <c r="V35" s="504"/>
      <c r="W35" s="504"/>
      <c r="X35" s="504"/>
      <c r="Y35" s="504"/>
      <c r="Z35" s="505"/>
      <c r="AA35" s="114"/>
      <c r="AB35" s="506"/>
      <c r="AC35" s="507"/>
      <c r="AD35" s="501">
        <f>ROUND((AA35*AB35),0)</f>
        <v>0</v>
      </c>
      <c r="AE35" s="502"/>
      <c r="AG35" s="93">
        <v>1</v>
      </c>
      <c r="AH35" s="96"/>
      <c r="AI35" s="94"/>
      <c r="AJ35" s="94"/>
      <c r="AK35" s="94"/>
      <c r="AL35" s="95">
        <v>0</v>
      </c>
      <c r="AM35" s="95">
        <v>0</v>
      </c>
      <c r="AN35" s="94"/>
    </row>
    <row r="36" spans="1:40" ht="20.100000000000001" customHeight="1" x14ac:dyDescent="0.2">
      <c r="A36" s="748"/>
      <c r="B36" s="749"/>
      <c r="C36" s="749"/>
      <c r="D36" s="749"/>
      <c r="E36" s="749"/>
      <c r="F36" s="749"/>
      <c r="G36" s="749"/>
      <c r="H36" s="750"/>
      <c r="I36" s="761"/>
      <c r="J36" s="762"/>
      <c r="K36" s="762"/>
      <c r="L36" s="762"/>
      <c r="M36" s="762"/>
      <c r="N36" s="762"/>
      <c r="O36" s="762"/>
      <c r="P36" s="762"/>
      <c r="Q36" s="762"/>
      <c r="R36" s="763"/>
      <c r="S36" s="9"/>
      <c r="T36" s="829" t="s">
        <v>181</v>
      </c>
      <c r="U36" s="830"/>
      <c r="V36" s="830"/>
      <c r="W36" s="830"/>
      <c r="X36" s="830"/>
      <c r="Y36" s="830"/>
      <c r="Z36" s="831"/>
      <c r="AA36" s="835"/>
      <c r="AB36" s="518"/>
      <c r="AC36" s="519"/>
      <c r="AD36" s="819">
        <f>ROUND((AA36*AB36),0)</f>
        <v>0</v>
      </c>
      <c r="AE36" s="820"/>
      <c r="AG36" s="93">
        <v>2</v>
      </c>
      <c r="AH36" s="96"/>
      <c r="AI36" s="94"/>
      <c r="AJ36" s="94"/>
      <c r="AK36" s="94"/>
      <c r="AL36" s="95">
        <v>0</v>
      </c>
      <c r="AM36" s="95">
        <v>0</v>
      </c>
      <c r="AN36" s="94"/>
    </row>
    <row r="37" spans="1:40" ht="20.100000000000001" customHeight="1" x14ac:dyDescent="0.2">
      <c r="A37" s="748"/>
      <c r="B37" s="749"/>
      <c r="C37" s="749"/>
      <c r="D37" s="749"/>
      <c r="E37" s="749"/>
      <c r="F37" s="749"/>
      <c r="G37" s="749"/>
      <c r="H37" s="750"/>
      <c r="I37" s="761"/>
      <c r="J37" s="762"/>
      <c r="K37" s="762"/>
      <c r="L37" s="762"/>
      <c r="M37" s="762"/>
      <c r="N37" s="762"/>
      <c r="O37" s="762"/>
      <c r="P37" s="762"/>
      <c r="Q37" s="762"/>
      <c r="R37" s="763"/>
      <c r="S37" s="10"/>
      <c r="T37" s="832"/>
      <c r="U37" s="833"/>
      <c r="V37" s="833"/>
      <c r="W37" s="833"/>
      <c r="X37" s="833"/>
      <c r="Y37" s="833"/>
      <c r="Z37" s="834"/>
      <c r="AA37" s="836"/>
      <c r="AB37" s="520"/>
      <c r="AC37" s="521"/>
      <c r="AD37" s="821"/>
      <c r="AE37" s="822"/>
      <c r="AG37" s="93">
        <v>3</v>
      </c>
      <c r="AH37" s="96"/>
      <c r="AI37" s="94"/>
      <c r="AJ37" s="94"/>
      <c r="AK37" s="94"/>
      <c r="AL37" s="95">
        <v>0</v>
      </c>
      <c r="AM37" s="95">
        <v>0</v>
      </c>
      <c r="AN37" s="94"/>
    </row>
    <row r="38" spans="1:40" ht="23.1" customHeight="1" thickBot="1" x14ac:dyDescent="0.25">
      <c r="A38" s="748"/>
      <c r="B38" s="749"/>
      <c r="C38" s="749"/>
      <c r="D38" s="749"/>
      <c r="E38" s="749"/>
      <c r="F38" s="749"/>
      <c r="G38" s="749"/>
      <c r="H38" s="750"/>
      <c r="I38" s="764"/>
      <c r="J38" s="765"/>
      <c r="K38" s="765"/>
      <c r="L38" s="765"/>
      <c r="M38" s="765"/>
      <c r="N38" s="765"/>
      <c r="O38" s="765"/>
      <c r="P38" s="765"/>
      <c r="Q38" s="765"/>
      <c r="R38" s="766"/>
      <c r="S38" s="10"/>
      <c r="T38" s="825" t="s">
        <v>100</v>
      </c>
      <c r="U38" s="826"/>
      <c r="V38" s="827" t="s">
        <v>98</v>
      </c>
      <c r="W38" s="827"/>
      <c r="X38" s="827"/>
      <c r="Y38" s="827"/>
      <c r="Z38" s="828"/>
      <c r="AA38" s="115"/>
      <c r="AB38" s="516"/>
      <c r="AC38" s="517"/>
      <c r="AD38" s="819">
        <f>ROUND((AA38*AB38),0)</f>
        <v>0</v>
      </c>
      <c r="AE38" s="820"/>
      <c r="AG38" s="93">
        <v>4</v>
      </c>
      <c r="AH38" s="96"/>
      <c r="AI38" s="94"/>
      <c r="AJ38" s="94"/>
      <c r="AK38" s="94"/>
      <c r="AL38" s="95">
        <v>0</v>
      </c>
      <c r="AM38" s="95">
        <v>0</v>
      </c>
      <c r="AN38" s="94"/>
    </row>
    <row r="39" spans="1:40" s="209" customFormat="1" ht="39" customHeight="1" x14ac:dyDescent="0.2">
      <c r="A39" s="720" t="s">
        <v>9</v>
      </c>
      <c r="B39" s="721"/>
      <c r="C39" s="267" t="s">
        <v>277</v>
      </c>
      <c r="D39" s="753"/>
      <c r="E39" s="267" t="s">
        <v>275</v>
      </c>
      <c r="F39" s="753"/>
      <c r="G39" s="267" t="s">
        <v>276</v>
      </c>
      <c r="H39" s="268"/>
      <c r="I39" s="778" t="s">
        <v>9</v>
      </c>
      <c r="J39" s="779"/>
      <c r="K39" s="767" t="s">
        <v>141</v>
      </c>
      <c r="L39" s="767"/>
      <c r="M39" s="767" t="s">
        <v>78</v>
      </c>
      <c r="N39" s="767"/>
      <c r="O39" s="767"/>
      <c r="P39" s="776"/>
      <c r="Q39" s="770" t="s">
        <v>142</v>
      </c>
      <c r="R39" s="771"/>
      <c r="S39" s="204"/>
      <c r="T39" s="789" t="s">
        <v>279</v>
      </c>
      <c r="U39" s="790"/>
      <c r="V39" s="790"/>
      <c r="W39" s="790"/>
      <c r="X39" s="790"/>
      <c r="Y39" s="790"/>
      <c r="Z39" s="791"/>
      <c r="AA39" s="203">
        <f>SUM(AA40:AA42)</f>
        <v>0</v>
      </c>
      <c r="AB39" s="797">
        <f>IFERROR(AD39/AA39,0)</f>
        <v>0</v>
      </c>
      <c r="AC39" s="798"/>
      <c r="AD39" s="839">
        <f>ROUND(SUM(AD40:AD42),0)</f>
        <v>0</v>
      </c>
      <c r="AE39" s="840"/>
      <c r="AF39" s="205"/>
      <c r="AG39" s="162">
        <v>5</v>
      </c>
      <c r="AH39" s="206"/>
      <c r="AI39" s="207"/>
      <c r="AJ39" s="207"/>
      <c r="AK39" s="207"/>
      <c r="AL39" s="208">
        <v>0</v>
      </c>
      <c r="AM39" s="208">
        <v>0</v>
      </c>
      <c r="AN39" s="207"/>
    </row>
    <row r="40" spans="1:40" ht="23.1" customHeight="1" x14ac:dyDescent="0.2">
      <c r="A40" s="722"/>
      <c r="B40" s="723"/>
      <c r="C40" s="269"/>
      <c r="D40" s="369"/>
      <c r="E40" s="269"/>
      <c r="F40" s="369"/>
      <c r="G40" s="269"/>
      <c r="H40" s="270"/>
      <c r="I40" s="780"/>
      <c r="J40" s="781"/>
      <c r="K40" s="768"/>
      <c r="L40" s="768"/>
      <c r="M40" s="768"/>
      <c r="N40" s="768"/>
      <c r="O40" s="768"/>
      <c r="P40" s="777"/>
      <c r="Q40" s="772"/>
      <c r="R40" s="773"/>
      <c r="S40" s="10"/>
      <c r="T40" s="792" t="str">
        <f>_xlfn.CONCAT( "- у розмірі  ",TEXT(AF2,"# ##")," грн")</f>
        <v>- у розмірі  100 000 грн</v>
      </c>
      <c r="U40" s="793"/>
      <c r="V40" s="793"/>
      <c r="W40" s="793"/>
      <c r="X40" s="793"/>
      <c r="Y40" s="793"/>
      <c r="Z40" s="794"/>
      <c r="AA40" s="210">
        <f>C48</f>
        <v>0</v>
      </c>
      <c r="AB40" s="787">
        <f>AF2</f>
        <v>100000</v>
      </c>
      <c r="AC40" s="788"/>
      <c r="AD40" s="837">
        <f>ROUND((AA40*AB40),0)</f>
        <v>0</v>
      </c>
      <c r="AE40" s="838"/>
    </row>
    <row r="41" spans="1:40" ht="23.1" customHeight="1" thickBot="1" x14ac:dyDescent="0.25">
      <c r="A41" s="724"/>
      <c r="B41" s="725"/>
      <c r="C41" s="370"/>
      <c r="D41" s="371"/>
      <c r="E41" s="370"/>
      <c r="F41" s="371"/>
      <c r="G41" s="225" t="s">
        <v>297</v>
      </c>
      <c r="H41" s="211" t="s">
        <v>295</v>
      </c>
      <c r="I41" s="782"/>
      <c r="J41" s="783"/>
      <c r="K41" s="119" t="s">
        <v>145</v>
      </c>
      <c r="L41" s="120" t="s">
        <v>144</v>
      </c>
      <c r="M41" s="769" t="s">
        <v>146</v>
      </c>
      <c r="N41" s="769"/>
      <c r="O41" s="739" t="s">
        <v>147</v>
      </c>
      <c r="P41" s="740"/>
      <c r="Q41" s="774"/>
      <c r="R41" s="775"/>
      <c r="S41" s="10"/>
      <c r="T41" s="792" t="str">
        <f>_xlfn.CONCAT( "- у розмірі  ",TEXT(AG2,"# ##")," грн")</f>
        <v>- у розмірі  50 000 грн</v>
      </c>
      <c r="U41" s="795"/>
      <c r="V41" s="795"/>
      <c r="W41" s="795"/>
      <c r="X41" s="795"/>
      <c r="Y41" s="795"/>
      <c r="Z41" s="796"/>
      <c r="AA41" s="210">
        <f>E48</f>
        <v>0</v>
      </c>
      <c r="AB41" s="787">
        <f>AG2</f>
        <v>50000</v>
      </c>
      <c r="AC41" s="788"/>
      <c r="AD41" s="837">
        <f>ROUND((AA41*AB41),0)</f>
        <v>0</v>
      </c>
      <c r="AE41" s="838"/>
    </row>
    <row r="42" spans="1:40" ht="23.1" customHeight="1" x14ac:dyDescent="0.2">
      <c r="A42" s="751" t="s">
        <v>13</v>
      </c>
      <c r="B42" s="752"/>
      <c r="C42" s="754"/>
      <c r="D42" s="755"/>
      <c r="E42" s="754"/>
      <c r="F42" s="755"/>
      <c r="G42" s="226">
        <f t="shared" ref="G42:G47" si="3">SUMIFS(AA:AA,BF:BF,$A27,AG:AG,"&lt;&gt;1")/$AH$2+H42</f>
        <v>0</v>
      </c>
      <c r="H42" s="227"/>
      <c r="I42" s="784" t="s">
        <v>13</v>
      </c>
      <c r="J42" s="785"/>
      <c r="K42" s="121">
        <f ca="1">SUMIF(AF:AF,$A27,AG:AG)</f>
        <v>0</v>
      </c>
      <c r="L42" s="121">
        <f ca="1">SUMIF(AF:AF,$A27,AH:AH)</f>
        <v>0</v>
      </c>
      <c r="M42" s="743">
        <f ca="1">SUMIF(AF:AF,$A27,U:U)*1.18</f>
        <v>0</v>
      </c>
      <c r="N42" s="744"/>
      <c r="O42" s="743">
        <f ca="1">SUMIF(AF:AF,$A27,AC:AC)-SUMIF(AF:AF,$A27,U:U)*1.18</f>
        <v>0</v>
      </c>
      <c r="P42" s="744"/>
      <c r="Q42" s="741">
        <f ca="1">M42+O42</f>
        <v>0</v>
      </c>
      <c r="R42" s="742"/>
      <c r="S42" s="74"/>
      <c r="T42" s="792" t="str">
        <f>_xlfn.CONCAT( "- у розмірі  ",TEXT(AH2,"# ##")," грн")</f>
        <v>- у розмірі  30 000 грн</v>
      </c>
      <c r="U42" s="795"/>
      <c r="V42" s="795"/>
      <c r="W42" s="795"/>
      <c r="X42" s="795"/>
      <c r="Y42" s="795"/>
      <c r="Z42" s="796"/>
      <c r="AA42" s="210">
        <f>G48</f>
        <v>0</v>
      </c>
      <c r="AB42" s="787">
        <f>AH2</f>
        <v>30000</v>
      </c>
      <c r="AC42" s="788"/>
      <c r="AD42" s="837">
        <f>ROUND((AA42*AB42),0)</f>
        <v>0</v>
      </c>
      <c r="AE42" s="838"/>
    </row>
    <row r="43" spans="1:40" ht="24" thickBot="1" x14ac:dyDescent="0.25">
      <c r="A43" s="728" t="s">
        <v>14</v>
      </c>
      <c r="B43" s="729"/>
      <c r="C43" s="884"/>
      <c r="D43" s="885"/>
      <c r="E43" s="884"/>
      <c r="F43" s="885"/>
      <c r="G43" s="228">
        <f t="shared" si="3"/>
        <v>0</v>
      </c>
      <c r="H43" s="229"/>
      <c r="I43" s="866" t="s">
        <v>14</v>
      </c>
      <c r="J43" s="867"/>
      <c r="K43" s="122">
        <f ca="1">SUMIF(AF:AF,$A28,AG:AG)</f>
        <v>0</v>
      </c>
      <c r="L43" s="122">
        <f ca="1">SUMIF(AF:AF,$A28,AH:AH)</f>
        <v>0</v>
      </c>
      <c r="M43" s="497">
        <f ca="1">SUMIF(AF:AF,$A28,U:U)*1.18</f>
        <v>0</v>
      </c>
      <c r="N43" s="498"/>
      <c r="O43" s="497">
        <f ca="1">SUMIF(AF:AF,$A28,AC:AC)-SUMIF(AF:AF,$A28,U:U)*1.18</f>
        <v>0</v>
      </c>
      <c r="P43" s="498"/>
      <c r="Q43" s="495">
        <f ca="1">M43+O43</f>
        <v>0</v>
      </c>
      <c r="R43" s="496"/>
      <c r="S43" s="74"/>
      <c r="T43" s="823" t="s">
        <v>280</v>
      </c>
      <c r="U43" s="824"/>
      <c r="V43" s="824"/>
      <c r="W43" s="824"/>
      <c r="X43" s="824"/>
      <c r="Y43" s="824"/>
      <c r="Z43" s="824"/>
      <c r="AA43" s="164">
        <v>0</v>
      </c>
      <c r="AB43" s="540">
        <v>0</v>
      </c>
      <c r="AC43" s="541"/>
      <c r="AD43" s="860">
        <f>ROUND((AA43*AB43),0)</f>
        <v>0</v>
      </c>
      <c r="AE43" s="861"/>
      <c r="AG43" s="162" t="s">
        <v>65</v>
      </c>
      <c r="AH43" s="162" t="s">
        <v>183</v>
      </c>
      <c r="AI43" s="162" t="s">
        <v>177</v>
      </c>
      <c r="AJ43" s="162" t="s">
        <v>184</v>
      </c>
      <c r="AK43" s="162" t="s">
        <v>185</v>
      </c>
      <c r="AL43" s="62"/>
      <c r="AM43" s="62"/>
    </row>
    <row r="44" spans="1:40" ht="23.25" x14ac:dyDescent="0.2">
      <c r="A44" s="728" t="s">
        <v>15</v>
      </c>
      <c r="B44" s="729"/>
      <c r="C44" s="884"/>
      <c r="D44" s="885"/>
      <c r="E44" s="884"/>
      <c r="F44" s="885"/>
      <c r="G44" s="228">
        <f t="shared" si="3"/>
        <v>0</v>
      </c>
      <c r="H44" s="229"/>
      <c r="I44" s="866" t="s">
        <v>15</v>
      </c>
      <c r="J44" s="867"/>
      <c r="K44" s="122">
        <f ca="1">SUMIF(AF:AF,$A29,AG:AG)</f>
        <v>0</v>
      </c>
      <c r="L44" s="122">
        <f ca="1">SUMIF(AF:AF,$A29,AH:AH)</f>
        <v>0</v>
      </c>
      <c r="M44" s="497">
        <f ca="1">SUMIF(AF:AF,$A29,U:U)*1.18</f>
        <v>0</v>
      </c>
      <c r="N44" s="498"/>
      <c r="O44" s="497">
        <f ca="1">SUMIF(AF:AF,$A29,AC:AC)-SUMIF(AF:AF,$A29,U:U)*1.18</f>
        <v>0</v>
      </c>
      <c r="P44" s="498"/>
      <c r="Q44" s="495">
        <f ca="1">M44+O44</f>
        <v>0</v>
      </c>
      <c r="R44" s="496"/>
      <c r="S44" s="74"/>
      <c r="T44" s="811" t="s">
        <v>284</v>
      </c>
      <c r="U44" s="812"/>
      <c r="V44" s="812"/>
      <c r="W44" s="812"/>
      <c r="X44" s="812"/>
      <c r="Y44" s="812"/>
      <c r="Z44" s="812"/>
      <c r="AA44" s="815" t="s">
        <v>0</v>
      </c>
      <c r="AB44" s="807" t="s">
        <v>0</v>
      </c>
      <c r="AC44" s="807"/>
      <c r="AD44" s="862">
        <f>ROUND(((SUM(AD23:AD39,AD43)-SUM(AD24,AD28,AD29:AE34)-((C46+C47)*AB40+(E46+E47)*AB41+(G46+G47)*AB42))*18%),0)</f>
        <v>0</v>
      </c>
      <c r="AE44" s="863"/>
      <c r="AG44" s="162">
        <v>1</v>
      </c>
      <c r="AH44" s="162" t="s">
        <v>186</v>
      </c>
      <c r="AI44" s="163"/>
      <c r="AJ44" s="162">
        <v>0</v>
      </c>
      <c r="AK44" s="162"/>
      <c r="AL44" s="62"/>
      <c r="AM44" s="62"/>
    </row>
    <row r="45" spans="1:40" ht="24" thickBot="1" x14ac:dyDescent="0.25">
      <c r="A45" s="728" t="s">
        <v>16</v>
      </c>
      <c r="B45" s="729"/>
      <c r="C45" s="884"/>
      <c r="D45" s="885"/>
      <c r="E45" s="884"/>
      <c r="F45" s="885"/>
      <c r="G45" s="228">
        <f t="shared" si="3"/>
        <v>0</v>
      </c>
      <c r="H45" s="229"/>
      <c r="I45" s="866" t="s">
        <v>16</v>
      </c>
      <c r="J45" s="867"/>
      <c r="K45" s="122">
        <f ca="1">SUMIF(AF:AF,$A30,AG:AG)</f>
        <v>0</v>
      </c>
      <c r="L45" s="122">
        <f ca="1">SUMIF(AF:AF,$A30,AH:AH)</f>
        <v>0</v>
      </c>
      <c r="M45" s="497">
        <f ca="1">SUMIF(AF:AF,$A30,U:U)*1.18</f>
        <v>0</v>
      </c>
      <c r="N45" s="498"/>
      <c r="O45" s="497">
        <f ca="1">SUMIF(AF:AF,$A30,AC:AC)-SUMIF(AF:AF,$A30,U:U)*1.18</f>
        <v>0</v>
      </c>
      <c r="P45" s="498"/>
      <c r="Q45" s="495">
        <f ca="1">M45+O45</f>
        <v>0</v>
      </c>
      <c r="R45" s="496"/>
      <c r="S45" s="74"/>
      <c r="T45" s="813"/>
      <c r="U45" s="814"/>
      <c r="V45" s="814"/>
      <c r="W45" s="814"/>
      <c r="X45" s="814"/>
      <c r="Y45" s="814"/>
      <c r="Z45" s="814"/>
      <c r="AA45" s="816"/>
      <c r="AB45" s="808"/>
      <c r="AC45" s="808"/>
      <c r="AD45" s="864"/>
      <c r="AE45" s="865"/>
      <c r="AG45" s="162">
        <v>2</v>
      </c>
      <c r="AH45" s="162" t="s">
        <v>187</v>
      </c>
      <c r="AI45" s="163"/>
      <c r="AJ45" s="162">
        <v>18000</v>
      </c>
      <c r="AK45" s="162"/>
      <c r="AL45" s="62"/>
      <c r="AM45" s="62"/>
    </row>
    <row r="46" spans="1:40" ht="24.95" customHeight="1" thickBot="1" x14ac:dyDescent="0.25">
      <c r="A46" s="728" t="s">
        <v>17</v>
      </c>
      <c r="B46" s="729"/>
      <c r="C46" s="884"/>
      <c r="D46" s="885"/>
      <c r="E46" s="884"/>
      <c r="F46" s="885"/>
      <c r="G46" s="228">
        <f t="shared" si="3"/>
        <v>0</v>
      </c>
      <c r="H46" s="229"/>
      <c r="I46" s="866" t="s">
        <v>17</v>
      </c>
      <c r="J46" s="867"/>
      <c r="K46" s="123" t="s">
        <v>0</v>
      </c>
      <c r="L46" s="123" t="s">
        <v>0</v>
      </c>
      <c r="M46" s="799" t="s">
        <v>0</v>
      </c>
      <c r="N46" s="800"/>
      <c r="O46" s="497" t="s">
        <v>0</v>
      </c>
      <c r="P46" s="498"/>
      <c r="Q46" s="856" t="s">
        <v>0</v>
      </c>
      <c r="R46" s="857"/>
      <c r="S46" s="74"/>
      <c r="T46" s="817" t="s">
        <v>281</v>
      </c>
      <c r="U46" s="818"/>
      <c r="V46" s="818"/>
      <c r="W46" s="818"/>
      <c r="X46" s="818"/>
      <c r="Y46" s="818"/>
      <c r="Z46" s="818"/>
      <c r="AA46" s="116" t="s">
        <v>0</v>
      </c>
      <c r="AB46" s="914" t="s">
        <v>0</v>
      </c>
      <c r="AC46" s="914"/>
      <c r="AD46" s="874">
        <f>ROUND(SUM(AD23:AD39,AD43,X129),0)</f>
        <v>0</v>
      </c>
      <c r="AE46" s="875">
        <f>ROUND(SUM(AE40:AE43,Y129),2)</f>
        <v>0</v>
      </c>
      <c r="AG46" s="162">
        <v>3</v>
      </c>
      <c r="AH46" s="162" t="s">
        <v>188</v>
      </c>
      <c r="AI46" s="162"/>
      <c r="AJ46" s="162">
        <v>15000</v>
      </c>
      <c r="AK46" s="162"/>
      <c r="AL46" s="62"/>
      <c r="AM46" s="62"/>
    </row>
    <row r="47" spans="1:40" ht="24.95" customHeight="1" thickBot="1" x14ac:dyDescent="0.25">
      <c r="A47" s="809" t="s">
        <v>18</v>
      </c>
      <c r="B47" s="810"/>
      <c r="C47" s="899"/>
      <c r="D47" s="900"/>
      <c r="E47" s="899"/>
      <c r="F47" s="900"/>
      <c r="G47" s="230">
        <f t="shared" si="3"/>
        <v>0</v>
      </c>
      <c r="H47" s="231"/>
      <c r="I47" s="905" t="s">
        <v>18</v>
      </c>
      <c r="J47" s="906"/>
      <c r="K47" s="124" t="s">
        <v>0</v>
      </c>
      <c r="L47" s="124" t="s">
        <v>0</v>
      </c>
      <c r="M47" s="888" t="s">
        <v>0</v>
      </c>
      <c r="N47" s="888"/>
      <c r="O47" s="854" t="s">
        <v>0</v>
      </c>
      <c r="P47" s="855"/>
      <c r="Q47" s="889" t="s">
        <v>0</v>
      </c>
      <c r="R47" s="890"/>
      <c r="S47" s="74"/>
      <c r="T47" s="907" t="s">
        <v>282</v>
      </c>
      <c r="U47" s="908"/>
      <c r="V47" s="908"/>
      <c r="W47" s="908"/>
      <c r="X47" s="908"/>
      <c r="Y47" s="908"/>
      <c r="Z47" s="909"/>
      <c r="AA47" s="117" t="s">
        <v>0</v>
      </c>
      <c r="AB47" s="924" t="s">
        <v>0</v>
      </c>
      <c r="AC47" s="925"/>
      <c r="AD47" s="821">
        <f>ROUND(((SUM(AD25:AE33,AD35:AE39,AD43)-((C46+C47)*AB40+(E46+E47)*AB41+(G46+G47)*AB42))*22%),0)</f>
        <v>0</v>
      </c>
      <c r="AE47" s="822" t="e">
        <f>ROUND(((SUM(#REF!)-SUM(#REF!,#REF!,AE6,AE36))*22%),2)</f>
        <v>#REF!</v>
      </c>
      <c r="AG47" s="162">
        <v>4</v>
      </c>
      <c r="AH47" s="162" t="s">
        <v>189</v>
      </c>
      <c r="AI47" s="162"/>
      <c r="AJ47" s="162">
        <v>13000</v>
      </c>
      <c r="AK47" s="162"/>
      <c r="AL47" s="62"/>
      <c r="AM47" s="62"/>
    </row>
    <row r="48" spans="1:40" ht="27" customHeight="1" thickBot="1" x14ac:dyDescent="0.25">
      <c r="A48" s="730" t="s">
        <v>1</v>
      </c>
      <c r="B48" s="731"/>
      <c r="C48" s="886">
        <f>SUM(C42:C47)</f>
        <v>0</v>
      </c>
      <c r="D48" s="887"/>
      <c r="E48" s="886">
        <f>SUM(E42:E47)</f>
        <v>0</v>
      </c>
      <c r="F48" s="887"/>
      <c r="G48" s="232">
        <f>SUM(G42:G47)</f>
        <v>0</v>
      </c>
      <c r="H48" s="233">
        <f>SUM(H42:H47)</f>
        <v>0</v>
      </c>
      <c r="I48" s="902" t="s">
        <v>1</v>
      </c>
      <c r="J48" s="903"/>
      <c r="K48" s="125">
        <f ca="1">SUM(K42:K45)</f>
        <v>0</v>
      </c>
      <c r="L48" s="125">
        <f ca="1">SUM(L42:L45)</f>
        <v>0</v>
      </c>
      <c r="M48" s="801">
        <f ca="1">SUM(M42:N45)</f>
        <v>0</v>
      </c>
      <c r="N48" s="802"/>
      <c r="O48" s="801">
        <f ca="1">SUM(O42:P45)</f>
        <v>0</v>
      </c>
      <c r="P48" s="802"/>
      <c r="Q48" s="858">
        <f ca="1">SUM(Q42:R45)</f>
        <v>0</v>
      </c>
      <c r="R48" s="859"/>
      <c r="S48" s="11"/>
      <c r="T48" s="919" t="s">
        <v>283</v>
      </c>
      <c r="U48" s="920"/>
      <c r="V48" s="920"/>
      <c r="W48" s="920"/>
      <c r="X48" s="920"/>
      <c r="Y48" s="920"/>
      <c r="Z48" s="921"/>
      <c r="AA48" s="118"/>
      <c r="AB48" s="922"/>
      <c r="AC48" s="923"/>
      <c r="AD48" s="917">
        <f>ROUND((AA48*AB48),0)</f>
        <v>0</v>
      </c>
      <c r="AE48" s="918"/>
      <c r="AG48" s="162">
        <v>5</v>
      </c>
      <c r="AH48" s="162" t="s">
        <v>190</v>
      </c>
      <c r="AI48" s="162"/>
      <c r="AJ48" s="162">
        <v>10000</v>
      </c>
      <c r="AK48" s="162"/>
      <c r="AL48" s="62"/>
      <c r="AM48" s="62"/>
    </row>
    <row r="49" spans="1:39" ht="9.9499999999999993" customHeight="1" thickTop="1" x14ac:dyDescent="0.2">
      <c r="AG49" s="162">
        <v>6</v>
      </c>
      <c r="AH49" s="162" t="s">
        <v>191</v>
      </c>
      <c r="AI49" s="162"/>
      <c r="AJ49" s="162">
        <v>9000</v>
      </c>
      <c r="AK49" s="162"/>
      <c r="AL49" s="62"/>
      <c r="AM49" s="62"/>
    </row>
    <row r="50" spans="1:39" ht="23.25" x14ac:dyDescent="0.2">
      <c r="A50" s="803"/>
      <c r="B50" s="803"/>
      <c r="C50" s="803"/>
      <c r="D50" s="803"/>
      <c r="E50" s="803"/>
      <c r="F50" s="803"/>
      <c r="G50" s="803"/>
      <c r="H50" s="803"/>
      <c r="I50" s="803"/>
      <c r="J50" s="803"/>
      <c r="K50" s="803"/>
      <c r="L50" s="803"/>
      <c r="M50" s="803"/>
      <c r="N50" s="803"/>
      <c r="O50" s="803"/>
      <c r="P50" s="803"/>
      <c r="Q50" s="803"/>
      <c r="T50" s="916" t="s">
        <v>86</v>
      </c>
      <c r="U50" s="916"/>
      <c r="V50" s="916"/>
      <c r="W50" s="916"/>
      <c r="X50" s="916"/>
      <c r="Y50" s="916"/>
      <c r="Z50" s="916"/>
      <c r="AA50" s="916"/>
      <c r="AB50" s="916"/>
      <c r="AC50" s="916"/>
      <c r="AD50" s="916"/>
      <c r="AE50" s="916"/>
      <c r="AG50" s="162">
        <v>7</v>
      </c>
      <c r="AH50" s="162" t="s">
        <v>192</v>
      </c>
      <c r="AI50" s="162"/>
      <c r="AJ50" s="162">
        <v>7000</v>
      </c>
      <c r="AK50" s="162"/>
      <c r="AL50" s="62"/>
      <c r="AM50" s="62"/>
    </row>
    <row r="51" spans="1:39" ht="18.75" customHeight="1" x14ac:dyDescent="0.2">
      <c r="A51" s="712"/>
      <c r="B51" s="712"/>
      <c r="C51" s="712"/>
      <c r="D51" s="40"/>
      <c r="E51" s="57"/>
      <c r="F51" s="713"/>
      <c r="G51" s="713"/>
      <c r="H51" s="713"/>
      <c r="I51" s="40"/>
      <c r="J51" s="40"/>
      <c r="K51" s="40"/>
      <c r="L51" s="40"/>
      <c r="M51" s="804"/>
      <c r="N51" s="804"/>
      <c r="O51" s="804"/>
      <c r="P51" s="804"/>
      <c r="Q51" s="804"/>
      <c r="T51" s="916"/>
      <c r="U51" s="916"/>
      <c r="V51" s="916"/>
      <c r="W51" s="916"/>
      <c r="X51" s="916"/>
      <c r="Y51" s="916"/>
      <c r="Z51" s="916"/>
      <c r="AA51" s="916"/>
      <c r="AB51" s="916"/>
      <c r="AC51" s="916"/>
      <c r="AD51" s="916"/>
      <c r="AE51" s="916"/>
      <c r="AG51" s="162">
        <v>8</v>
      </c>
      <c r="AH51" s="162" t="s">
        <v>193</v>
      </c>
      <c r="AI51" s="162"/>
      <c r="AJ51" s="162">
        <v>6000</v>
      </c>
      <c r="AK51" s="162"/>
      <c r="AL51" s="62"/>
      <c r="AM51" s="62"/>
    </row>
    <row r="52" spans="1:39" ht="23.25" x14ac:dyDescent="0.35">
      <c r="A52" s="803"/>
      <c r="B52" s="803"/>
      <c r="C52" s="803"/>
      <c r="D52" s="803"/>
      <c r="E52" s="803"/>
      <c r="F52" s="803"/>
      <c r="G52" s="803"/>
      <c r="H52" s="803"/>
      <c r="I52" s="803"/>
      <c r="J52" s="803"/>
      <c r="K52" s="803"/>
      <c r="L52" s="803"/>
      <c r="M52" s="803"/>
      <c r="N52" s="803"/>
      <c r="O52" s="803"/>
      <c r="P52" s="803"/>
      <c r="Q52" s="803"/>
      <c r="T52" s="915"/>
      <c r="U52" s="915"/>
      <c r="V52" s="915"/>
      <c r="W52" s="915"/>
      <c r="X52" s="915"/>
      <c r="Y52" s="915"/>
      <c r="Z52" s="915"/>
      <c r="AA52" s="915"/>
      <c r="AB52" s="915"/>
      <c r="AC52" s="915"/>
      <c r="AD52" s="915"/>
      <c r="AE52" s="915"/>
      <c r="AG52" s="162">
        <v>9</v>
      </c>
      <c r="AH52" s="162" t="s">
        <v>194</v>
      </c>
      <c r="AI52" s="163"/>
      <c r="AJ52" s="162">
        <v>5000</v>
      </c>
      <c r="AK52" s="162"/>
      <c r="AL52" s="62"/>
      <c r="AM52" s="62"/>
    </row>
    <row r="53" spans="1:39" ht="18" customHeight="1" x14ac:dyDescent="0.2">
      <c r="A53" s="712"/>
      <c r="B53" s="712"/>
      <c r="C53" s="712"/>
      <c r="D53" s="40"/>
      <c r="E53" s="57"/>
      <c r="F53" s="713"/>
      <c r="G53" s="713"/>
      <c r="H53" s="713"/>
      <c r="I53" s="40"/>
      <c r="J53" s="40"/>
      <c r="K53" s="40"/>
      <c r="L53" s="40"/>
      <c r="M53" s="804"/>
      <c r="N53" s="804"/>
      <c r="O53" s="804"/>
      <c r="P53" s="804"/>
      <c r="Q53" s="804"/>
      <c r="T53" s="805"/>
      <c r="U53" s="805"/>
      <c r="V53" s="805"/>
      <c r="W53" s="14"/>
      <c r="X53" s="806"/>
      <c r="Y53" s="806"/>
      <c r="Z53" s="14"/>
      <c r="AA53" s="904"/>
      <c r="AB53" s="904"/>
      <c r="AC53" s="904"/>
      <c r="AD53" s="904"/>
      <c r="AE53" s="904"/>
    </row>
    <row r="54" spans="1:39" ht="25.5" x14ac:dyDescent="0.2">
      <c r="A54" s="786">
        <f ca="1">TODAY()</f>
        <v>45061</v>
      </c>
      <c r="B54" s="786"/>
      <c r="C54" s="48" t="s">
        <v>7</v>
      </c>
      <c r="D54" s="58"/>
      <c r="T54" s="17"/>
      <c r="U54" s="17"/>
      <c r="V54" s="17"/>
      <c r="W54" s="17"/>
      <c r="X54" s="17"/>
      <c r="Y54" s="17"/>
      <c r="Z54" s="17"/>
      <c r="AA54" s="18"/>
      <c r="AB54" s="19"/>
      <c r="AC54" s="19"/>
      <c r="AD54" s="20"/>
      <c r="AE54" s="82" t="s">
        <v>274</v>
      </c>
      <c r="AF54" s="177">
        <v>45061</v>
      </c>
    </row>
    <row r="55" spans="1:39" s="55" customFormat="1" ht="26.25" x14ac:dyDescent="0.2">
      <c r="A55" s="54"/>
      <c r="B55" s="54"/>
      <c r="C55" s="54"/>
      <c r="D55" s="54"/>
      <c r="E55" s="54"/>
      <c r="F55" s="49"/>
      <c r="G55" s="49"/>
      <c r="H55" s="49"/>
      <c r="I55" s="49"/>
      <c r="J55" s="49"/>
      <c r="K55" s="49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49"/>
      <c r="W55" s="27"/>
      <c r="X55" s="27"/>
      <c r="Y55" s="27"/>
      <c r="Z55" s="41"/>
      <c r="AA55" s="49"/>
      <c r="AB55" s="49"/>
      <c r="AC55" s="41"/>
      <c r="AD55" s="41" t="s">
        <v>12</v>
      </c>
      <c r="AE55" s="54"/>
      <c r="AF55" s="64"/>
    </row>
    <row r="56" spans="1:39" s="55" customFormat="1" ht="59.25" customHeight="1" x14ac:dyDescent="0.2">
      <c r="A56" s="54"/>
      <c r="B56" s="54"/>
      <c r="C56" s="54"/>
      <c r="D56" s="54"/>
      <c r="E56" s="54"/>
      <c r="F56" s="49"/>
      <c r="G56" s="49"/>
      <c r="H56" s="49"/>
      <c r="I56" s="49"/>
      <c r="J56" s="49"/>
      <c r="K56" s="49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670" t="str">
        <f>V1</f>
        <v>Начальнику забезпечувального фінансового органу
(Відповідальному за бюджетну підпрограму)</v>
      </c>
      <c r="W56" s="670"/>
      <c r="X56" s="670"/>
      <c r="Y56" s="670"/>
      <c r="Z56" s="670"/>
      <c r="AA56" s="670"/>
      <c r="AB56" s="670"/>
      <c r="AC56" s="670"/>
      <c r="AD56" s="670"/>
      <c r="AE56" s="670"/>
      <c r="AF56" s="62"/>
    </row>
    <row r="57" spans="1:39" s="55" customFormat="1" ht="27" x14ac:dyDescent="0.2">
      <c r="A57" s="54"/>
      <c r="B57" s="54"/>
      <c r="C57" s="54"/>
      <c r="D57" s="54"/>
      <c r="E57" s="54"/>
      <c r="F57" s="49"/>
      <c r="G57" s="49"/>
      <c r="H57" s="49"/>
      <c r="I57" s="49"/>
      <c r="J57" s="49"/>
      <c r="K57" s="49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26" t="s">
        <v>5</v>
      </c>
      <c r="W57" s="49"/>
      <c r="X57" s="26"/>
      <c r="Y57" s="25"/>
      <c r="Z57" s="25"/>
      <c r="AA57" s="49"/>
      <c r="AB57" s="49"/>
      <c r="AC57" s="901">
        <f>$AB$3</f>
        <v>0</v>
      </c>
      <c r="AD57" s="901"/>
      <c r="AE57" s="901"/>
      <c r="AF57" s="64"/>
    </row>
    <row r="58" spans="1:39" s="55" customFormat="1" ht="26.25" x14ac:dyDescent="0.4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75"/>
      <c r="X58" s="75"/>
      <c r="Y58" s="75"/>
      <c r="Z58" s="75"/>
      <c r="AA58" s="75"/>
      <c r="AB58" s="75"/>
      <c r="AC58" s="54"/>
      <c r="AD58" s="54"/>
      <c r="AE58" s="54"/>
      <c r="AF58" s="64"/>
    </row>
    <row r="59" spans="1:39" s="55" customFormat="1" ht="70.5" customHeight="1" x14ac:dyDescent="0.2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64"/>
    </row>
    <row r="60" spans="1:39" s="55" customFormat="1" ht="57.75" customHeight="1" x14ac:dyDescent="0.2">
      <c r="A60" s="352" t="s">
        <v>156</v>
      </c>
      <c r="B60" s="352"/>
      <c r="C60" s="352"/>
      <c r="D60" s="352"/>
      <c r="E60" s="352"/>
      <c r="F60" s="352"/>
      <c r="G60" s="352"/>
      <c r="H60" s="352"/>
      <c r="I60" s="352"/>
      <c r="J60" s="352"/>
      <c r="K60" s="352"/>
      <c r="L60" s="352"/>
      <c r="M60" s="352"/>
      <c r="N60" s="352"/>
      <c r="O60" s="352"/>
      <c r="P60" s="352"/>
      <c r="Q60" s="352"/>
      <c r="R60" s="352"/>
      <c r="S60" s="352"/>
      <c r="T60" s="352"/>
      <c r="U60" s="352"/>
      <c r="V60" s="352"/>
      <c r="W60" s="352"/>
      <c r="X60" s="352"/>
      <c r="Y60" s="352"/>
      <c r="Z60" s="352"/>
      <c r="AA60" s="352"/>
      <c r="AB60" s="352"/>
      <c r="AC60" s="352"/>
      <c r="AD60" s="352"/>
      <c r="AE60" s="352"/>
      <c r="AF60" s="64"/>
    </row>
    <row r="61" spans="1:39" s="55" customFormat="1" ht="27" x14ac:dyDescent="0.2">
      <c r="A61" s="352">
        <f>$H$7</f>
        <v>0</v>
      </c>
      <c r="B61" s="352"/>
      <c r="C61" s="352"/>
      <c r="D61" s="352"/>
      <c r="E61" s="352"/>
      <c r="F61" s="352"/>
      <c r="G61" s="352"/>
      <c r="H61" s="352"/>
      <c r="I61" s="352"/>
      <c r="J61" s="352"/>
      <c r="K61" s="352"/>
      <c r="L61" s="352"/>
      <c r="M61" s="352"/>
      <c r="N61" s="352"/>
      <c r="O61" s="352"/>
      <c r="P61" s="352"/>
      <c r="Q61" s="352"/>
      <c r="R61" s="352"/>
      <c r="S61" s="352"/>
      <c r="T61" s="352"/>
      <c r="U61" s="352"/>
      <c r="V61" s="352"/>
      <c r="W61" s="352"/>
      <c r="X61" s="352"/>
      <c r="Y61" s="352"/>
      <c r="Z61" s="352"/>
      <c r="AA61" s="352"/>
      <c r="AB61" s="352"/>
      <c r="AC61" s="352"/>
      <c r="AD61" s="352"/>
      <c r="AE61" s="352"/>
      <c r="AF61" s="64"/>
    </row>
    <row r="62" spans="1:39" s="55" customFormat="1" ht="27.75" thickBot="1" x14ac:dyDescent="0.25">
      <c r="A62" s="143" t="s">
        <v>6</v>
      </c>
      <c r="B62" s="144"/>
      <c r="C62" s="353">
        <f>$C$9</f>
        <v>0</v>
      </c>
      <c r="D62" s="353"/>
      <c r="E62" s="353"/>
      <c r="F62" s="145"/>
      <c r="G62" s="145"/>
      <c r="H62" s="273">
        <f>H8</f>
        <v>0</v>
      </c>
      <c r="I62" s="273"/>
      <c r="J62" s="273"/>
      <c r="K62" s="273"/>
      <c r="L62" s="273"/>
      <c r="M62" s="273"/>
      <c r="N62" s="273"/>
      <c r="O62" s="273"/>
      <c r="P62" s="273"/>
      <c r="Q62" s="273"/>
      <c r="R62" s="273"/>
      <c r="S62" s="273"/>
      <c r="T62" s="273"/>
      <c r="U62" s="273"/>
      <c r="V62" s="273"/>
      <c r="W62" s="273"/>
      <c r="X62" s="273"/>
      <c r="Y62" s="273"/>
      <c r="Z62" s="145"/>
      <c r="AA62" s="146"/>
      <c r="AB62" s="139"/>
      <c r="AC62" s="139"/>
      <c r="AD62" s="139"/>
      <c r="AE62" s="139"/>
      <c r="AF62" s="64"/>
    </row>
    <row r="63" spans="1:39" s="55" customFormat="1" ht="33.75" customHeight="1" thickTop="1" thickBot="1" x14ac:dyDescent="0.25">
      <c r="A63" s="714" t="s">
        <v>28</v>
      </c>
      <c r="B63" s="715"/>
      <c r="C63" s="715"/>
      <c r="D63" s="715"/>
      <c r="E63" s="715"/>
      <c r="F63" s="715"/>
      <c r="G63" s="715"/>
      <c r="H63" s="715"/>
      <c r="I63" s="850" t="s">
        <v>29</v>
      </c>
      <c r="J63" s="851"/>
      <c r="K63" s="851"/>
      <c r="L63" s="851"/>
      <c r="M63" s="851"/>
      <c r="N63" s="851"/>
      <c r="O63" s="851"/>
      <c r="P63" s="868" t="s">
        <v>8</v>
      </c>
      <c r="Q63" s="869"/>
      <c r="R63" s="714" t="s">
        <v>28</v>
      </c>
      <c r="S63" s="715"/>
      <c r="T63" s="715"/>
      <c r="U63" s="715"/>
      <c r="V63" s="715"/>
      <c r="W63" s="872"/>
      <c r="X63" s="850" t="s">
        <v>29</v>
      </c>
      <c r="Y63" s="851"/>
      <c r="Z63" s="851"/>
      <c r="AA63" s="851"/>
      <c r="AB63" s="851"/>
      <c r="AC63" s="851"/>
      <c r="AD63" s="851"/>
      <c r="AE63" s="852" t="s">
        <v>8</v>
      </c>
      <c r="AF63" s="62"/>
    </row>
    <row r="64" spans="1:39" s="55" customFormat="1" ht="33.75" customHeight="1" thickBot="1" x14ac:dyDescent="0.25">
      <c r="A64" s="716"/>
      <c r="B64" s="717"/>
      <c r="C64" s="717"/>
      <c r="D64" s="717"/>
      <c r="E64" s="717"/>
      <c r="F64" s="717"/>
      <c r="G64" s="717"/>
      <c r="H64" s="717"/>
      <c r="I64" s="37" t="s">
        <v>79</v>
      </c>
      <c r="J64" s="38" t="s">
        <v>80</v>
      </c>
      <c r="K64" s="39" t="s">
        <v>81</v>
      </c>
      <c r="L64" s="39" t="s">
        <v>82</v>
      </c>
      <c r="M64" s="39" t="s">
        <v>83</v>
      </c>
      <c r="N64" s="876" t="s">
        <v>84</v>
      </c>
      <c r="O64" s="877"/>
      <c r="P64" s="870"/>
      <c r="Q64" s="871"/>
      <c r="R64" s="716"/>
      <c r="S64" s="717"/>
      <c r="T64" s="717"/>
      <c r="U64" s="717"/>
      <c r="V64" s="717"/>
      <c r="W64" s="873"/>
      <c r="X64" s="37" t="s">
        <v>79</v>
      </c>
      <c r="Y64" s="38" t="s">
        <v>80</v>
      </c>
      <c r="Z64" s="39" t="s">
        <v>81</v>
      </c>
      <c r="AA64" s="39" t="s">
        <v>82</v>
      </c>
      <c r="AB64" s="39" t="s">
        <v>83</v>
      </c>
      <c r="AC64" s="876" t="s">
        <v>84</v>
      </c>
      <c r="AD64" s="877"/>
      <c r="AE64" s="853"/>
      <c r="AF64" s="62"/>
    </row>
    <row r="65" spans="1:32" s="55" customFormat="1" ht="24.95" customHeight="1" thickBot="1" x14ac:dyDescent="0.25">
      <c r="A65" s="294" t="s">
        <v>30</v>
      </c>
      <c r="B65" s="295"/>
      <c r="C65" s="295"/>
      <c r="D65" s="295"/>
      <c r="E65" s="295"/>
      <c r="F65" s="295"/>
      <c r="G65" s="278" t="s">
        <v>31</v>
      </c>
      <c r="H65" s="279"/>
      <c r="I65" s="97">
        <f>$L$27</f>
        <v>0</v>
      </c>
      <c r="J65" s="98">
        <f>$L$28</f>
        <v>0</v>
      </c>
      <c r="K65" s="99">
        <f>$L$29</f>
        <v>0</v>
      </c>
      <c r="L65" s="99">
        <f>$L$30</f>
        <v>0</v>
      </c>
      <c r="M65" s="99" t="s">
        <v>32</v>
      </c>
      <c r="N65" s="271" t="s">
        <v>32</v>
      </c>
      <c r="O65" s="272"/>
      <c r="P65" s="288">
        <f>ROUND(SUM(I65)*SUM(I66)+SUM(J65)*SUM(J66)+SUM(K65)*SUM(K66)+SUM(L65)*SUM(L66)+SUM(M65)*SUM(M66)+SUM(N65)*SUM(N66),0)</f>
        <v>0</v>
      </c>
      <c r="Q65" s="289"/>
      <c r="R65" s="891" t="s">
        <v>44</v>
      </c>
      <c r="S65" s="892"/>
      <c r="T65" s="892"/>
      <c r="U65" s="893"/>
      <c r="V65" s="278" t="s">
        <v>31</v>
      </c>
      <c r="W65" s="279"/>
      <c r="X65" s="185"/>
      <c r="Y65" s="184"/>
      <c r="Z65" s="109" t="s">
        <v>32</v>
      </c>
      <c r="AA65" s="109" t="s">
        <v>32</v>
      </c>
      <c r="AB65" s="109" t="s">
        <v>32</v>
      </c>
      <c r="AC65" s="271" t="s">
        <v>32</v>
      </c>
      <c r="AD65" s="272"/>
      <c r="AE65" s="252">
        <f>ROUND(SUM(X65)*SUM(X66)+SUM(Y65)*SUM(Y66)+SUM(Z65)*SUM(Z66)+SUM(AA65)*SUM(AA66)+SUM(AB65)*SUM(AB66)+SUM(AC65)*SUM(AC66),0)</f>
        <v>0</v>
      </c>
      <c r="AF65" s="62"/>
    </row>
    <row r="66" spans="1:32" s="55" customFormat="1" ht="24.95" customHeight="1" thickBot="1" x14ac:dyDescent="0.25">
      <c r="A66" s="294"/>
      <c r="B66" s="295"/>
      <c r="C66" s="295"/>
      <c r="D66" s="295"/>
      <c r="E66" s="295"/>
      <c r="F66" s="295"/>
      <c r="G66" s="290" t="s">
        <v>33</v>
      </c>
      <c r="H66" s="291"/>
      <c r="I66" s="100"/>
      <c r="J66" s="101"/>
      <c r="K66" s="102"/>
      <c r="L66" s="102"/>
      <c r="M66" s="103" t="s">
        <v>32</v>
      </c>
      <c r="N66" s="471" t="s">
        <v>32</v>
      </c>
      <c r="O66" s="472"/>
      <c r="P66" s="288"/>
      <c r="Q66" s="289"/>
      <c r="R66" s="894"/>
      <c r="S66" s="895"/>
      <c r="T66" s="895"/>
      <c r="U66" s="896"/>
      <c r="V66" s="290" t="s">
        <v>33</v>
      </c>
      <c r="W66" s="291"/>
      <c r="X66" s="186"/>
      <c r="Y66" s="183"/>
      <c r="Z66" s="108" t="s">
        <v>32</v>
      </c>
      <c r="AA66" s="108" t="s">
        <v>32</v>
      </c>
      <c r="AB66" s="108" t="s">
        <v>32</v>
      </c>
      <c r="AC66" s="471" t="s">
        <v>32</v>
      </c>
      <c r="AD66" s="472"/>
      <c r="AE66" s="334"/>
      <c r="AF66" s="62"/>
    </row>
    <row r="67" spans="1:32" s="55" customFormat="1" ht="24.95" customHeight="1" thickBot="1" x14ac:dyDescent="0.25">
      <c r="A67" s="294" t="s">
        <v>34</v>
      </c>
      <c r="B67" s="295"/>
      <c r="C67" s="295"/>
      <c r="D67" s="295"/>
      <c r="E67" s="295"/>
      <c r="F67" s="295"/>
      <c r="G67" s="278" t="s">
        <v>31</v>
      </c>
      <c r="H67" s="279"/>
      <c r="I67" s="97">
        <f>$L$27</f>
        <v>0</v>
      </c>
      <c r="J67" s="98">
        <f>$L$28</f>
        <v>0</v>
      </c>
      <c r="K67" s="99">
        <f>$L$29</f>
        <v>0</v>
      </c>
      <c r="L67" s="99">
        <f>$L$30</f>
        <v>0</v>
      </c>
      <c r="M67" s="99">
        <f>$L$31</f>
        <v>0</v>
      </c>
      <c r="N67" s="499">
        <f>$L$32</f>
        <v>0</v>
      </c>
      <c r="O67" s="500"/>
      <c r="P67" s="288">
        <f>ROUND(SUM(I67)*SUM(I68)+SUM(J67)*SUM(J68)+SUM(K67)*SUM(K68)+SUM(L67)*SUM(L68)+SUM(M67)*SUM(M68)+SUM(N67)*SUM(N68),0)</f>
        <v>0</v>
      </c>
      <c r="Q67" s="289"/>
      <c r="R67" s="844" t="s">
        <v>45</v>
      </c>
      <c r="S67" s="845"/>
      <c r="T67" s="845"/>
      <c r="U67" s="846"/>
      <c r="V67" s="278" t="s">
        <v>31</v>
      </c>
      <c r="W67" s="279"/>
      <c r="X67" s="185"/>
      <c r="Y67" s="184"/>
      <c r="Z67" s="184"/>
      <c r="AA67" s="184"/>
      <c r="AB67" s="109" t="s">
        <v>32</v>
      </c>
      <c r="AC67" s="263"/>
      <c r="AD67" s="264"/>
      <c r="AE67" s="252">
        <f>ROUND(SUM(X67)*SUM(X68)+SUM(Y67)*SUM(Y68)+SUM(Z67)*SUM(Z68)+SUM(AA67)*SUM(AA68)+SUM(AB67)*SUM(AB68)+SUM(AC67)*SUM(AC68),0)</f>
        <v>0</v>
      </c>
      <c r="AF67" s="62"/>
    </row>
    <row r="68" spans="1:32" s="55" customFormat="1" ht="24.95" customHeight="1" thickBot="1" x14ac:dyDescent="0.25">
      <c r="A68" s="294"/>
      <c r="B68" s="295"/>
      <c r="C68" s="295"/>
      <c r="D68" s="295"/>
      <c r="E68" s="295"/>
      <c r="F68" s="295"/>
      <c r="G68" s="290" t="s">
        <v>33</v>
      </c>
      <c r="H68" s="291"/>
      <c r="I68" s="100"/>
      <c r="J68" s="101"/>
      <c r="K68" s="102"/>
      <c r="L68" s="102"/>
      <c r="M68" s="102"/>
      <c r="N68" s="265"/>
      <c r="O68" s="266"/>
      <c r="P68" s="288"/>
      <c r="Q68" s="289"/>
      <c r="R68" s="847"/>
      <c r="S68" s="848"/>
      <c r="T68" s="848"/>
      <c r="U68" s="849"/>
      <c r="V68" s="290" t="s">
        <v>33</v>
      </c>
      <c r="W68" s="291"/>
      <c r="X68" s="186"/>
      <c r="Y68" s="183"/>
      <c r="Z68" s="183"/>
      <c r="AA68" s="183"/>
      <c r="AB68" s="108" t="s">
        <v>32</v>
      </c>
      <c r="AC68" s="265"/>
      <c r="AD68" s="266"/>
      <c r="AE68" s="334"/>
      <c r="AF68" s="62"/>
    </row>
    <row r="69" spans="1:32" s="55" customFormat="1" ht="24.95" customHeight="1" thickBot="1" x14ac:dyDescent="0.25">
      <c r="A69" s="294" t="s">
        <v>35</v>
      </c>
      <c r="B69" s="295"/>
      <c r="C69" s="295"/>
      <c r="D69" s="295"/>
      <c r="E69" s="295"/>
      <c r="F69" s="295"/>
      <c r="G69" s="278" t="s">
        <v>31</v>
      </c>
      <c r="H69" s="279"/>
      <c r="I69" s="185"/>
      <c r="J69" s="184"/>
      <c r="K69" s="184"/>
      <c r="L69" s="184"/>
      <c r="M69" s="99" t="s">
        <v>32</v>
      </c>
      <c r="N69" s="271" t="s">
        <v>32</v>
      </c>
      <c r="O69" s="272"/>
      <c r="P69" s="288">
        <f>ROUND(SUM(I69)*SUM(I70)+SUM(J69)*SUM(J70)+SUM(K69)*SUM(K70)+SUM(L69)*SUM(L70)+SUM(M69)*SUM(M70)+SUM(N69)*SUM(N70),0)</f>
        <v>0</v>
      </c>
      <c r="Q69" s="289"/>
      <c r="R69" s="844" t="s">
        <v>46</v>
      </c>
      <c r="S69" s="845"/>
      <c r="T69" s="845"/>
      <c r="U69" s="846"/>
      <c r="V69" s="278" t="s">
        <v>31</v>
      </c>
      <c r="W69" s="279"/>
      <c r="X69" s="185"/>
      <c r="Y69" s="184"/>
      <c r="Z69" s="184"/>
      <c r="AA69" s="184"/>
      <c r="AB69" s="99" t="s">
        <v>32</v>
      </c>
      <c r="AC69" s="271" t="s">
        <v>32</v>
      </c>
      <c r="AD69" s="272"/>
      <c r="AE69" s="252">
        <f>ROUND(SUM(X69)*SUM(X70)+SUM(Y69)*SUM(Y70)+SUM(Z69)*SUM(Z70)+SUM(AA69)*SUM(AA70)+SUM(AB69)*SUM(AB70)+SUM(AC69)*SUM(AC70),0)</f>
        <v>0</v>
      </c>
      <c r="AF69" s="62"/>
    </row>
    <row r="70" spans="1:32" s="55" customFormat="1" ht="24.95" customHeight="1" thickBot="1" x14ac:dyDescent="0.25">
      <c r="A70" s="294"/>
      <c r="B70" s="295"/>
      <c r="C70" s="295"/>
      <c r="D70" s="295"/>
      <c r="E70" s="295"/>
      <c r="F70" s="295"/>
      <c r="G70" s="290" t="s">
        <v>33</v>
      </c>
      <c r="H70" s="291"/>
      <c r="I70" s="186"/>
      <c r="J70" s="183"/>
      <c r="K70" s="183"/>
      <c r="L70" s="183"/>
      <c r="M70" s="103" t="s">
        <v>32</v>
      </c>
      <c r="N70" s="471" t="s">
        <v>32</v>
      </c>
      <c r="O70" s="472"/>
      <c r="P70" s="288"/>
      <c r="Q70" s="289"/>
      <c r="R70" s="847"/>
      <c r="S70" s="848"/>
      <c r="T70" s="848"/>
      <c r="U70" s="849"/>
      <c r="V70" s="290" t="s">
        <v>33</v>
      </c>
      <c r="W70" s="291"/>
      <c r="X70" s="186"/>
      <c r="Y70" s="183"/>
      <c r="Z70" s="183"/>
      <c r="AA70" s="183"/>
      <c r="AB70" s="103" t="s">
        <v>32</v>
      </c>
      <c r="AC70" s="471" t="s">
        <v>32</v>
      </c>
      <c r="AD70" s="472"/>
      <c r="AE70" s="334"/>
      <c r="AF70" s="62"/>
    </row>
    <row r="71" spans="1:32" s="55" customFormat="1" ht="24.95" customHeight="1" thickBot="1" x14ac:dyDescent="0.25">
      <c r="A71" s="294" t="s">
        <v>36</v>
      </c>
      <c r="B71" s="295"/>
      <c r="C71" s="295"/>
      <c r="D71" s="295"/>
      <c r="E71" s="295"/>
      <c r="F71" s="295"/>
      <c r="G71" s="278" t="s">
        <v>31</v>
      </c>
      <c r="H71" s="279"/>
      <c r="I71" s="97" t="s">
        <v>32</v>
      </c>
      <c r="J71" s="98" t="s">
        <v>32</v>
      </c>
      <c r="K71" s="105" t="s">
        <v>32</v>
      </c>
      <c r="L71" s="105" t="s">
        <v>32</v>
      </c>
      <c r="M71" s="184"/>
      <c r="N71" s="271" t="s">
        <v>32</v>
      </c>
      <c r="O71" s="272"/>
      <c r="P71" s="288">
        <f>ROUND(SUM(I71)*SUM(I72)+SUM(J71)*SUM(J72)+SUM(K71)*SUM(K72)+SUM(L71)*SUM(L72)+SUM(M71)*SUM(M72)+SUM(N71)*SUM(N72),0)</f>
        <v>0</v>
      </c>
      <c r="Q71" s="289"/>
      <c r="R71" s="275" t="s">
        <v>47</v>
      </c>
      <c r="S71" s="276"/>
      <c r="T71" s="276"/>
      <c r="U71" s="277"/>
      <c r="V71" s="278" t="s">
        <v>31</v>
      </c>
      <c r="W71" s="279"/>
      <c r="X71" s="185"/>
      <c r="Y71" s="184"/>
      <c r="Z71" s="184"/>
      <c r="AA71" s="184"/>
      <c r="AB71" s="99" t="s">
        <v>32</v>
      </c>
      <c r="AC71" s="271" t="s">
        <v>32</v>
      </c>
      <c r="AD71" s="272"/>
      <c r="AE71" s="252">
        <f>ROUND(SUM(X71)*SUM(X72)+SUM(Y71)*SUM(Y72)+SUM(Z71)*SUM(Z72)+SUM(AA71)*SUM(AA72)+SUM(AB71)*SUM(AB72)+SUM(AC71)*SUM(AC72),0)</f>
        <v>0</v>
      </c>
      <c r="AF71" s="62"/>
    </row>
    <row r="72" spans="1:32" s="55" customFormat="1" ht="24.95" customHeight="1" thickBot="1" x14ac:dyDescent="0.25">
      <c r="A72" s="294"/>
      <c r="B72" s="295"/>
      <c r="C72" s="295"/>
      <c r="D72" s="295"/>
      <c r="E72" s="295"/>
      <c r="F72" s="295"/>
      <c r="G72" s="290" t="s">
        <v>33</v>
      </c>
      <c r="H72" s="291"/>
      <c r="I72" s="106" t="s">
        <v>32</v>
      </c>
      <c r="J72" s="107" t="s">
        <v>32</v>
      </c>
      <c r="K72" s="108" t="s">
        <v>32</v>
      </c>
      <c r="L72" s="108" t="s">
        <v>32</v>
      </c>
      <c r="M72" s="183"/>
      <c r="N72" s="471" t="s">
        <v>32</v>
      </c>
      <c r="O72" s="472"/>
      <c r="P72" s="288"/>
      <c r="Q72" s="289"/>
      <c r="R72" s="321"/>
      <c r="S72" s="322"/>
      <c r="T72" s="322"/>
      <c r="U72" s="323"/>
      <c r="V72" s="290" t="s">
        <v>33</v>
      </c>
      <c r="W72" s="291"/>
      <c r="X72" s="186"/>
      <c r="Y72" s="183"/>
      <c r="Z72" s="183"/>
      <c r="AA72" s="183"/>
      <c r="AB72" s="103" t="s">
        <v>32</v>
      </c>
      <c r="AC72" s="471" t="s">
        <v>32</v>
      </c>
      <c r="AD72" s="472"/>
      <c r="AE72" s="334"/>
      <c r="AF72" s="62"/>
    </row>
    <row r="73" spans="1:32" s="55" customFormat="1" ht="24.95" customHeight="1" thickBot="1" x14ac:dyDescent="0.25">
      <c r="A73" s="294" t="s">
        <v>180</v>
      </c>
      <c r="B73" s="295"/>
      <c r="C73" s="295"/>
      <c r="D73" s="295"/>
      <c r="E73" s="295"/>
      <c r="F73" s="295"/>
      <c r="G73" s="278" t="s">
        <v>31</v>
      </c>
      <c r="H73" s="279"/>
      <c r="I73" s="97" t="s">
        <v>32</v>
      </c>
      <c r="J73" s="98" t="s">
        <v>32</v>
      </c>
      <c r="K73" s="109" t="s">
        <v>32</v>
      </c>
      <c r="L73" s="184"/>
      <c r="M73" s="184"/>
      <c r="N73" s="263"/>
      <c r="O73" s="264"/>
      <c r="P73" s="288">
        <f>ROUND(SUM(I73)*SUM(I74)+SUM(J73)*SUM(J74)+SUM(K73)*SUM(K74)+SUM(L73)*SUM(L74)+SUM(M73)*SUM(M74)+SUM(N73)*SUM(N74),0)</f>
        <v>0</v>
      </c>
      <c r="Q73" s="289"/>
      <c r="R73" s="844" t="s">
        <v>48</v>
      </c>
      <c r="S73" s="845"/>
      <c r="T73" s="845"/>
      <c r="U73" s="846"/>
      <c r="V73" s="278" t="s">
        <v>31</v>
      </c>
      <c r="W73" s="279"/>
      <c r="X73" s="185"/>
      <c r="Y73" s="184"/>
      <c r="Z73" s="184"/>
      <c r="AA73" s="184"/>
      <c r="AB73" s="99" t="s">
        <v>32</v>
      </c>
      <c r="AC73" s="271" t="s">
        <v>32</v>
      </c>
      <c r="AD73" s="272"/>
      <c r="AE73" s="252">
        <f>ROUND(SUM(X73)*SUM(X74)+SUM(Y73)*SUM(Y74)+SUM(Z73)*SUM(Z74)+SUM(AA73)*SUM(AA74)+SUM(AB73)*SUM(AB74)+SUM(AC73)*SUM(AC74),0)</f>
        <v>0</v>
      </c>
      <c r="AF73" s="62"/>
    </row>
    <row r="74" spans="1:32" s="55" customFormat="1" ht="24.95" customHeight="1" thickBot="1" x14ac:dyDescent="0.25">
      <c r="A74" s="294"/>
      <c r="B74" s="295"/>
      <c r="C74" s="295"/>
      <c r="D74" s="295"/>
      <c r="E74" s="295"/>
      <c r="F74" s="295"/>
      <c r="G74" s="290" t="s">
        <v>33</v>
      </c>
      <c r="H74" s="291"/>
      <c r="I74" s="106" t="s">
        <v>32</v>
      </c>
      <c r="J74" s="107" t="s">
        <v>32</v>
      </c>
      <c r="K74" s="108" t="s">
        <v>32</v>
      </c>
      <c r="L74" s="183"/>
      <c r="M74" s="183"/>
      <c r="N74" s="265"/>
      <c r="O74" s="266"/>
      <c r="P74" s="288"/>
      <c r="Q74" s="289"/>
      <c r="R74" s="847"/>
      <c r="S74" s="848"/>
      <c r="T74" s="848"/>
      <c r="U74" s="849"/>
      <c r="V74" s="290" t="s">
        <v>33</v>
      </c>
      <c r="W74" s="291"/>
      <c r="X74" s="186"/>
      <c r="Y74" s="183"/>
      <c r="Z74" s="183"/>
      <c r="AA74" s="183"/>
      <c r="AB74" s="103" t="s">
        <v>32</v>
      </c>
      <c r="AC74" s="471" t="s">
        <v>32</v>
      </c>
      <c r="AD74" s="472"/>
      <c r="AE74" s="334"/>
      <c r="AF74" s="62"/>
    </row>
    <row r="75" spans="1:32" s="55" customFormat="1" ht="24.95" customHeight="1" thickBot="1" x14ac:dyDescent="0.25">
      <c r="A75" s="294" t="s">
        <v>179</v>
      </c>
      <c r="B75" s="295"/>
      <c r="C75" s="295"/>
      <c r="D75" s="295"/>
      <c r="E75" s="295"/>
      <c r="F75" s="295"/>
      <c r="G75" s="278" t="s">
        <v>31</v>
      </c>
      <c r="H75" s="279"/>
      <c r="I75" s="185"/>
      <c r="J75" s="184"/>
      <c r="K75" s="184"/>
      <c r="L75" s="184"/>
      <c r="M75" s="184"/>
      <c r="N75" s="263"/>
      <c r="O75" s="264"/>
      <c r="P75" s="288">
        <f>ROUND(SUM(I75)*SUM(I76)+SUM(J75)*SUM(J76)+SUM(K75)*SUM(K76)+SUM(L75)*SUM(L76)+SUM(M75)*SUM(M76)+SUM(N75)*SUM(N76),0)</f>
        <v>0</v>
      </c>
      <c r="Q75" s="289"/>
      <c r="R75" s="275" t="s">
        <v>49</v>
      </c>
      <c r="S75" s="276"/>
      <c r="T75" s="276"/>
      <c r="U75" s="277"/>
      <c r="V75" s="278" t="s">
        <v>31</v>
      </c>
      <c r="W75" s="279"/>
      <c r="X75" s="185"/>
      <c r="Y75" s="184"/>
      <c r="Z75" s="184"/>
      <c r="AA75" s="184"/>
      <c r="AB75" s="184"/>
      <c r="AC75" s="263"/>
      <c r="AD75" s="264"/>
      <c r="AE75" s="252">
        <f>ROUND(SUM(X75)*SUM(X76)+SUM(Y75)*SUM(Y76)+SUM(Z75)*SUM(Z76)+SUM(AA75)*SUM(AA76)+SUM(AB75)*SUM(AB76)+SUM(AC75)*SUM(AC76),0)</f>
        <v>0</v>
      </c>
      <c r="AF75" s="62"/>
    </row>
    <row r="76" spans="1:32" s="55" customFormat="1" ht="24.95" customHeight="1" thickBot="1" x14ac:dyDescent="0.25">
      <c r="A76" s="294"/>
      <c r="B76" s="295"/>
      <c r="C76" s="295"/>
      <c r="D76" s="295"/>
      <c r="E76" s="295"/>
      <c r="F76" s="295"/>
      <c r="G76" s="290" t="s">
        <v>33</v>
      </c>
      <c r="H76" s="291"/>
      <c r="I76" s="186"/>
      <c r="J76" s="183"/>
      <c r="K76" s="183"/>
      <c r="L76" s="183"/>
      <c r="M76" s="183"/>
      <c r="N76" s="265"/>
      <c r="O76" s="266"/>
      <c r="P76" s="288"/>
      <c r="Q76" s="289"/>
      <c r="R76" s="321"/>
      <c r="S76" s="322"/>
      <c r="T76" s="322"/>
      <c r="U76" s="323"/>
      <c r="V76" s="290" t="s">
        <v>33</v>
      </c>
      <c r="W76" s="291"/>
      <c r="X76" s="186"/>
      <c r="Y76" s="183"/>
      <c r="Z76" s="183"/>
      <c r="AA76" s="183"/>
      <c r="AB76" s="183"/>
      <c r="AC76" s="265"/>
      <c r="AD76" s="266"/>
      <c r="AE76" s="334"/>
      <c r="AF76" s="62"/>
    </row>
    <row r="77" spans="1:32" s="55" customFormat="1" ht="24.95" customHeight="1" thickBot="1" x14ac:dyDescent="0.25">
      <c r="A77" s="294" t="s">
        <v>37</v>
      </c>
      <c r="B77" s="295"/>
      <c r="C77" s="295"/>
      <c r="D77" s="295"/>
      <c r="E77" s="295"/>
      <c r="F77" s="295"/>
      <c r="G77" s="278" t="s">
        <v>31</v>
      </c>
      <c r="H77" s="279"/>
      <c r="I77" s="185"/>
      <c r="J77" s="184"/>
      <c r="K77" s="184"/>
      <c r="L77" s="184"/>
      <c r="M77" s="99" t="s">
        <v>32</v>
      </c>
      <c r="N77" s="271" t="s">
        <v>32</v>
      </c>
      <c r="O77" s="272"/>
      <c r="P77" s="288">
        <f>ROUND(SUM(I77)*SUM(I78)+SUM(J77)*SUM(J78)+SUM(K77)*SUM(K78)+SUM(L77)*SUM(L78)+SUM(M77)*SUM(M78)+SUM(N77)*SUM(N78),0)</f>
        <v>0</v>
      </c>
      <c r="Q77" s="289"/>
      <c r="R77" s="275" t="s">
        <v>50</v>
      </c>
      <c r="S77" s="276"/>
      <c r="T77" s="276"/>
      <c r="U77" s="277"/>
      <c r="V77" s="278" t="s">
        <v>31</v>
      </c>
      <c r="W77" s="279"/>
      <c r="X77" s="185"/>
      <c r="Y77" s="184"/>
      <c r="Z77" s="184"/>
      <c r="AA77" s="184"/>
      <c r="AB77" s="184"/>
      <c r="AC77" s="263"/>
      <c r="AD77" s="264"/>
      <c r="AE77" s="252">
        <f>ROUND(SUM(X77)*SUM(X78)+SUM(Y77)*SUM(Y78)+SUM(Z77)*SUM(Z78)+SUM(AA77)*SUM(AA78)+SUM(AB77)*SUM(AB78)+SUM(AC77)*SUM(AC78),0)</f>
        <v>0</v>
      </c>
      <c r="AF77" s="62"/>
    </row>
    <row r="78" spans="1:32" s="55" customFormat="1" ht="24.95" customHeight="1" thickBot="1" x14ac:dyDescent="0.25">
      <c r="A78" s="294"/>
      <c r="B78" s="295"/>
      <c r="C78" s="295"/>
      <c r="D78" s="295"/>
      <c r="E78" s="295"/>
      <c r="F78" s="295"/>
      <c r="G78" s="290" t="s">
        <v>33</v>
      </c>
      <c r="H78" s="291"/>
      <c r="I78" s="186"/>
      <c r="J78" s="183"/>
      <c r="K78" s="183"/>
      <c r="L78" s="183"/>
      <c r="M78" s="103" t="s">
        <v>32</v>
      </c>
      <c r="N78" s="471" t="s">
        <v>32</v>
      </c>
      <c r="O78" s="472"/>
      <c r="P78" s="288"/>
      <c r="Q78" s="289"/>
      <c r="R78" s="321"/>
      <c r="S78" s="322"/>
      <c r="T78" s="322"/>
      <c r="U78" s="323"/>
      <c r="V78" s="290" t="s">
        <v>33</v>
      </c>
      <c r="W78" s="291"/>
      <c r="X78" s="186"/>
      <c r="Y78" s="183"/>
      <c r="Z78" s="183"/>
      <c r="AA78" s="183"/>
      <c r="AB78" s="183"/>
      <c r="AC78" s="265"/>
      <c r="AD78" s="266"/>
      <c r="AE78" s="334"/>
      <c r="AF78" s="62"/>
    </row>
    <row r="79" spans="1:32" s="55" customFormat="1" ht="24.95" customHeight="1" thickBot="1" x14ac:dyDescent="0.25">
      <c r="A79" s="294" t="s">
        <v>38</v>
      </c>
      <c r="B79" s="295"/>
      <c r="C79" s="295"/>
      <c r="D79" s="295"/>
      <c r="E79" s="295"/>
      <c r="F79" s="295"/>
      <c r="G79" s="278" t="s">
        <v>31</v>
      </c>
      <c r="H79" s="279"/>
      <c r="I79" s="185"/>
      <c r="J79" s="184"/>
      <c r="K79" s="184"/>
      <c r="L79" s="184"/>
      <c r="M79" s="99" t="s">
        <v>32</v>
      </c>
      <c r="N79" s="271" t="s">
        <v>32</v>
      </c>
      <c r="O79" s="272"/>
      <c r="P79" s="288">
        <f>ROUND(SUM(I79)*SUM(I80)+SUM(J79)*SUM(J80)+SUM(K79)*SUM(K80)+SUM(L79)*SUM(L80)+SUM(M79)*SUM(M80)+SUM(N79)*SUM(N80),0)</f>
        <v>0</v>
      </c>
      <c r="Q79" s="289"/>
      <c r="R79" s="275" t="s">
        <v>51</v>
      </c>
      <c r="S79" s="276"/>
      <c r="T79" s="276"/>
      <c r="U79" s="277"/>
      <c r="V79" s="278" t="s">
        <v>31</v>
      </c>
      <c r="W79" s="279"/>
      <c r="X79" s="185"/>
      <c r="Y79" s="184"/>
      <c r="Z79" s="184"/>
      <c r="AA79" s="184"/>
      <c r="AB79" s="184"/>
      <c r="AC79" s="263"/>
      <c r="AD79" s="264"/>
      <c r="AE79" s="252">
        <f>ROUND(SUM(X79)*SUM(X80)+SUM(Y79)*SUM(Y80)+SUM(Z79)*SUM(Z80)+SUM(AA79)*SUM(AA80)+SUM(AB79)*SUM(AB80)+SUM(AC79)*SUM(AC80),0)</f>
        <v>0</v>
      </c>
      <c r="AF79" s="62"/>
    </row>
    <row r="80" spans="1:32" s="55" customFormat="1" ht="24.95" customHeight="1" thickBot="1" x14ac:dyDescent="0.25">
      <c r="A80" s="294"/>
      <c r="B80" s="295"/>
      <c r="C80" s="295"/>
      <c r="D80" s="295"/>
      <c r="E80" s="295"/>
      <c r="F80" s="295"/>
      <c r="G80" s="290" t="s">
        <v>33</v>
      </c>
      <c r="H80" s="291"/>
      <c r="I80" s="186"/>
      <c r="J80" s="183"/>
      <c r="K80" s="183"/>
      <c r="L80" s="183"/>
      <c r="M80" s="103" t="s">
        <v>32</v>
      </c>
      <c r="N80" s="471" t="s">
        <v>32</v>
      </c>
      <c r="O80" s="472"/>
      <c r="P80" s="288"/>
      <c r="Q80" s="289"/>
      <c r="R80" s="321"/>
      <c r="S80" s="322"/>
      <c r="T80" s="322"/>
      <c r="U80" s="323"/>
      <c r="V80" s="290" t="s">
        <v>33</v>
      </c>
      <c r="W80" s="291"/>
      <c r="X80" s="186"/>
      <c r="Y80" s="183"/>
      <c r="Z80" s="183"/>
      <c r="AA80" s="183"/>
      <c r="AB80" s="183"/>
      <c r="AC80" s="265"/>
      <c r="AD80" s="266"/>
      <c r="AE80" s="334"/>
      <c r="AF80" s="62"/>
    </row>
    <row r="81" spans="1:33" s="55" customFormat="1" ht="24.95" customHeight="1" thickBot="1" x14ac:dyDescent="0.25">
      <c r="A81" s="294" t="s">
        <v>39</v>
      </c>
      <c r="B81" s="295"/>
      <c r="C81" s="295"/>
      <c r="D81" s="295"/>
      <c r="E81" s="295"/>
      <c r="F81" s="295"/>
      <c r="G81" s="278" t="s">
        <v>31</v>
      </c>
      <c r="H81" s="279"/>
      <c r="I81" s="185"/>
      <c r="J81" s="184"/>
      <c r="K81" s="184"/>
      <c r="L81" s="184"/>
      <c r="M81" s="99" t="s">
        <v>32</v>
      </c>
      <c r="N81" s="271" t="s">
        <v>32</v>
      </c>
      <c r="O81" s="272"/>
      <c r="P81" s="288">
        <f>ROUND(SUM(I81)*SUM(I82)+SUM(J81)*SUM(J82)+SUM(K81)*SUM(K82)+SUM(L81)*SUM(L82)+SUM(M81)*SUM(M82)+SUM(N81)*SUM(N82),0)</f>
        <v>0</v>
      </c>
      <c r="Q81" s="289"/>
      <c r="R81" s="275" t="s">
        <v>52</v>
      </c>
      <c r="S81" s="276"/>
      <c r="T81" s="276"/>
      <c r="U81" s="277"/>
      <c r="V81" s="278" t="s">
        <v>31</v>
      </c>
      <c r="W81" s="279"/>
      <c r="X81" s="185"/>
      <c r="Y81" s="184"/>
      <c r="Z81" s="184"/>
      <c r="AA81" s="184"/>
      <c r="AB81" s="184"/>
      <c r="AC81" s="263"/>
      <c r="AD81" s="264"/>
      <c r="AE81" s="252">
        <f>ROUND(SUM(X81)*SUM(X82)+SUM(Y81)*SUM(Y82)+SUM(Z81)*SUM(Z82)+SUM(AA81)*SUM(AA82)+SUM(AB81)*SUM(AB82)+SUM(AC81)*SUM(AC82),0)</f>
        <v>0</v>
      </c>
      <c r="AF81" s="62"/>
    </row>
    <row r="82" spans="1:33" s="55" customFormat="1" ht="24.95" customHeight="1" thickBot="1" x14ac:dyDescent="0.25">
      <c r="A82" s="294"/>
      <c r="B82" s="295"/>
      <c r="C82" s="295"/>
      <c r="D82" s="295"/>
      <c r="E82" s="295"/>
      <c r="F82" s="295"/>
      <c r="G82" s="290" t="s">
        <v>33</v>
      </c>
      <c r="H82" s="291"/>
      <c r="I82" s="186"/>
      <c r="J82" s="183"/>
      <c r="K82" s="183"/>
      <c r="L82" s="183"/>
      <c r="M82" s="103" t="s">
        <v>32</v>
      </c>
      <c r="N82" s="471" t="s">
        <v>32</v>
      </c>
      <c r="O82" s="472"/>
      <c r="P82" s="288"/>
      <c r="Q82" s="289"/>
      <c r="R82" s="321"/>
      <c r="S82" s="322"/>
      <c r="T82" s="322"/>
      <c r="U82" s="323"/>
      <c r="V82" s="290" t="s">
        <v>33</v>
      </c>
      <c r="W82" s="291"/>
      <c r="X82" s="186"/>
      <c r="Y82" s="183"/>
      <c r="Z82" s="183"/>
      <c r="AA82" s="183"/>
      <c r="AB82" s="183"/>
      <c r="AC82" s="265"/>
      <c r="AD82" s="266"/>
      <c r="AE82" s="334"/>
      <c r="AF82" s="62"/>
    </row>
    <row r="83" spans="1:33" s="55" customFormat="1" ht="24.95" customHeight="1" thickBot="1" x14ac:dyDescent="0.25">
      <c r="A83" s="294" t="s">
        <v>40</v>
      </c>
      <c r="B83" s="295"/>
      <c r="C83" s="295"/>
      <c r="D83" s="295"/>
      <c r="E83" s="295"/>
      <c r="F83" s="295"/>
      <c r="G83" s="278" t="s">
        <v>31</v>
      </c>
      <c r="H83" s="279"/>
      <c r="I83" s="185"/>
      <c r="J83" s="184"/>
      <c r="K83" s="184"/>
      <c r="L83" s="184"/>
      <c r="M83" s="110" t="s">
        <v>32</v>
      </c>
      <c r="N83" s="271" t="s">
        <v>32</v>
      </c>
      <c r="O83" s="272"/>
      <c r="P83" s="288">
        <f>ROUND(SUM(I83)*SUM(I84)+SUM(J83)*SUM(J84)+SUM(K83)*SUM(K84)+SUM(L83)*SUM(L84)+SUM(M83)*SUM(M84)+SUM(N83)*SUM(N84),0)</f>
        <v>0</v>
      </c>
      <c r="Q83" s="289"/>
      <c r="R83" s="489" t="s">
        <v>53</v>
      </c>
      <c r="S83" s="490"/>
      <c r="T83" s="490"/>
      <c r="U83" s="491"/>
      <c r="V83" s="278" t="s">
        <v>31</v>
      </c>
      <c r="W83" s="279"/>
      <c r="X83" s="185"/>
      <c r="Y83" s="184"/>
      <c r="Z83" s="184"/>
      <c r="AA83" s="184"/>
      <c r="AB83" s="184"/>
      <c r="AC83" s="263"/>
      <c r="AD83" s="264"/>
      <c r="AE83" s="252">
        <f>ROUND(SUM(X83)*SUM(X84)+SUM(Y83)*SUM(Y84)+SUM(Z83)*SUM(Z84)+SUM(AA83)*SUM(AA84)+SUM(AB83)*SUM(AB84)+SUM(AC83)*SUM(AC84),0)</f>
        <v>0</v>
      </c>
      <c r="AF83" s="62"/>
    </row>
    <row r="84" spans="1:33" s="55" customFormat="1" ht="24.95" customHeight="1" thickBot="1" x14ac:dyDescent="0.25">
      <c r="A84" s="294"/>
      <c r="B84" s="295"/>
      <c r="C84" s="295"/>
      <c r="D84" s="295"/>
      <c r="E84" s="295"/>
      <c r="F84" s="295"/>
      <c r="G84" s="290" t="s">
        <v>33</v>
      </c>
      <c r="H84" s="291"/>
      <c r="I84" s="186"/>
      <c r="J84" s="183"/>
      <c r="K84" s="183"/>
      <c r="L84" s="183"/>
      <c r="M84" s="103" t="s">
        <v>32</v>
      </c>
      <c r="N84" s="471" t="s">
        <v>32</v>
      </c>
      <c r="O84" s="472"/>
      <c r="P84" s="288"/>
      <c r="Q84" s="289"/>
      <c r="R84" s="492"/>
      <c r="S84" s="493"/>
      <c r="T84" s="493"/>
      <c r="U84" s="494"/>
      <c r="V84" s="290" t="s">
        <v>33</v>
      </c>
      <c r="W84" s="291"/>
      <c r="X84" s="186"/>
      <c r="Y84" s="183"/>
      <c r="Z84" s="183"/>
      <c r="AA84" s="183"/>
      <c r="AB84" s="183"/>
      <c r="AC84" s="265"/>
      <c r="AD84" s="266"/>
      <c r="AE84" s="334"/>
      <c r="AF84" s="62"/>
    </row>
    <row r="85" spans="1:33" s="55" customFormat="1" ht="24.95" customHeight="1" thickBot="1" x14ac:dyDescent="0.25">
      <c r="A85" s="294" t="s">
        <v>41</v>
      </c>
      <c r="B85" s="295"/>
      <c r="C85" s="295"/>
      <c r="D85" s="295"/>
      <c r="E85" s="295"/>
      <c r="F85" s="295"/>
      <c r="G85" s="278" t="s">
        <v>31</v>
      </c>
      <c r="H85" s="279"/>
      <c r="I85" s="185"/>
      <c r="J85" s="184"/>
      <c r="K85" s="184"/>
      <c r="L85" s="184"/>
      <c r="M85" s="99" t="s">
        <v>32</v>
      </c>
      <c r="N85" s="271" t="s">
        <v>32</v>
      </c>
      <c r="O85" s="272"/>
      <c r="P85" s="288">
        <f>ROUND(SUM(I85)*SUM(I86)+SUM(J85)*SUM(J86)+SUM(K85)*SUM(K86)+SUM(L85)*SUM(L86)+SUM(M85)*SUM(M86)+SUM(N85)*SUM(N86),0)</f>
        <v>0</v>
      </c>
      <c r="Q85" s="289"/>
      <c r="R85" s="275" t="s">
        <v>97</v>
      </c>
      <c r="S85" s="276"/>
      <c r="T85" s="276"/>
      <c r="U85" s="277"/>
      <c r="V85" s="278" t="s">
        <v>31</v>
      </c>
      <c r="W85" s="279"/>
      <c r="X85" s="185"/>
      <c r="Y85" s="184"/>
      <c r="Z85" s="184"/>
      <c r="AA85" s="184"/>
      <c r="AB85" s="184"/>
      <c r="AC85" s="263"/>
      <c r="AD85" s="264"/>
      <c r="AE85" s="252">
        <f>ROUND(SUM(X85)*SUM(X86)+SUM(Y85)*SUM(Y86)+SUM(Z85)*SUM(Z86)+SUM(AA85)*SUM(AA86)+SUM(AB85)*SUM(AB86)+SUM(AC85)*SUM(AC86),0)</f>
        <v>0</v>
      </c>
      <c r="AF85" s="62"/>
    </row>
    <row r="86" spans="1:33" s="55" customFormat="1" ht="24.95" customHeight="1" thickBot="1" x14ac:dyDescent="0.25">
      <c r="A86" s="294"/>
      <c r="B86" s="295"/>
      <c r="C86" s="295"/>
      <c r="D86" s="295"/>
      <c r="E86" s="295"/>
      <c r="F86" s="295"/>
      <c r="G86" s="290" t="s">
        <v>33</v>
      </c>
      <c r="H86" s="291"/>
      <c r="I86" s="186"/>
      <c r="J86" s="183"/>
      <c r="K86" s="183"/>
      <c r="L86" s="183"/>
      <c r="M86" s="103" t="s">
        <v>32</v>
      </c>
      <c r="N86" s="471" t="s">
        <v>32</v>
      </c>
      <c r="O86" s="472"/>
      <c r="P86" s="288"/>
      <c r="Q86" s="289"/>
      <c r="R86" s="254" t="s">
        <v>98</v>
      </c>
      <c r="S86" s="255"/>
      <c r="T86" s="255"/>
      <c r="U86" s="256"/>
      <c r="V86" s="290" t="s">
        <v>33</v>
      </c>
      <c r="W86" s="291"/>
      <c r="X86" s="186"/>
      <c r="Y86" s="183"/>
      <c r="Z86" s="183"/>
      <c r="AA86" s="183"/>
      <c r="AB86" s="183"/>
      <c r="AC86" s="265"/>
      <c r="AD86" s="266"/>
      <c r="AE86" s="334"/>
      <c r="AF86" s="64"/>
    </row>
    <row r="87" spans="1:33" s="55" customFormat="1" ht="24.95" customHeight="1" thickBot="1" x14ac:dyDescent="0.25">
      <c r="A87" s="294" t="s">
        <v>42</v>
      </c>
      <c r="B87" s="295"/>
      <c r="C87" s="295"/>
      <c r="D87" s="295"/>
      <c r="E87" s="295"/>
      <c r="F87" s="295"/>
      <c r="G87" s="278" t="s">
        <v>31</v>
      </c>
      <c r="H87" s="279"/>
      <c r="I87" s="185"/>
      <c r="J87" s="184"/>
      <c r="K87" s="184"/>
      <c r="L87" s="184"/>
      <c r="M87" s="184"/>
      <c r="N87" s="263"/>
      <c r="O87" s="264"/>
      <c r="P87" s="288">
        <f>ROUND(SUM(I87)*SUM(I88)+SUM(J87)*SUM(J88)+SUM(K87)*SUM(K88)+SUM(L87)*SUM(L88)+SUM(M87)*SUM(M88)+SUM(N87)*SUM(N88),0)</f>
        <v>0</v>
      </c>
      <c r="Q87" s="289"/>
      <c r="R87" s="275" t="s">
        <v>99</v>
      </c>
      <c r="S87" s="276"/>
      <c r="T87" s="276"/>
      <c r="U87" s="277"/>
      <c r="V87" s="278" t="s">
        <v>31</v>
      </c>
      <c r="W87" s="279"/>
      <c r="X87" s="185"/>
      <c r="Y87" s="184"/>
      <c r="Z87" s="184"/>
      <c r="AA87" s="184"/>
      <c r="AB87" s="184"/>
      <c r="AC87" s="263"/>
      <c r="AD87" s="264"/>
      <c r="AE87" s="252">
        <f>ROUND(SUM(X87)*SUM(X88)+SUM(Y87)*SUM(Y88)+SUM(Z87)*SUM(Z88)+SUM(AA87)*SUM(AA88)+SUM(AB87)*SUM(AB88)+SUM(AC87)*SUM(AC88),0)</f>
        <v>0</v>
      </c>
      <c r="AF87" s="64"/>
    </row>
    <row r="88" spans="1:33" s="55" customFormat="1" ht="24.95" customHeight="1" thickBot="1" x14ac:dyDescent="0.25">
      <c r="A88" s="294"/>
      <c r="B88" s="295"/>
      <c r="C88" s="295"/>
      <c r="D88" s="295"/>
      <c r="E88" s="295"/>
      <c r="F88" s="295"/>
      <c r="G88" s="290" t="s">
        <v>33</v>
      </c>
      <c r="H88" s="291"/>
      <c r="I88" s="186"/>
      <c r="J88" s="183"/>
      <c r="K88" s="183"/>
      <c r="L88" s="183"/>
      <c r="M88" s="183"/>
      <c r="N88" s="265"/>
      <c r="O88" s="266"/>
      <c r="P88" s="288"/>
      <c r="Q88" s="289"/>
      <c r="R88" s="254" t="s">
        <v>98</v>
      </c>
      <c r="S88" s="255"/>
      <c r="T88" s="255"/>
      <c r="U88" s="256"/>
      <c r="V88" s="257" t="s">
        <v>33</v>
      </c>
      <c r="W88" s="258"/>
      <c r="X88" s="186"/>
      <c r="Y88" s="183"/>
      <c r="Z88" s="183"/>
      <c r="AA88" s="183"/>
      <c r="AB88" s="183"/>
      <c r="AC88" s="265"/>
      <c r="AD88" s="266"/>
      <c r="AE88" s="253"/>
      <c r="AF88" s="64"/>
    </row>
    <row r="89" spans="1:33" s="55" customFormat="1" ht="24.95" customHeight="1" thickBot="1" x14ac:dyDescent="0.25">
      <c r="A89" s="294" t="s">
        <v>43</v>
      </c>
      <c r="B89" s="295"/>
      <c r="C89" s="295"/>
      <c r="D89" s="295"/>
      <c r="E89" s="295"/>
      <c r="F89" s="295"/>
      <c r="G89" s="278" t="s">
        <v>31</v>
      </c>
      <c r="H89" s="279"/>
      <c r="I89" s="185"/>
      <c r="J89" s="184"/>
      <c r="K89" s="184"/>
      <c r="L89" s="184"/>
      <c r="M89" s="109" t="s">
        <v>32</v>
      </c>
      <c r="N89" s="271" t="s">
        <v>32</v>
      </c>
      <c r="O89" s="272"/>
      <c r="P89" s="288">
        <f>ROUND(SUM(I89)*SUM(I90)+SUM(J89)*SUM(J90)+SUM(K89)*SUM(K90)+SUM(L89)*SUM(L90)+SUM(M89)*SUM(M90)+SUM(N89)*SUM(N90),0)</f>
        <v>0</v>
      </c>
      <c r="Q89" s="318"/>
      <c r="R89" s="473" t="s">
        <v>167</v>
      </c>
      <c r="S89" s="474"/>
      <c r="T89" s="474"/>
      <c r="U89" s="474"/>
      <c r="V89" s="474"/>
      <c r="W89" s="475"/>
      <c r="X89" s="479">
        <f t="shared" ref="X89:AC89" si="4">IF((SUM(I65,I67,I69,I71,I73,I75,I77,I79,I81,I83,I85,I87,I89,X65,X67,X69,X71,X73,X75,X77,X79,X81,X85,X87,))=0,0,ROUND((SUM(I65)*SUM(I66)+SUM(I67)*SUM(I68)+SUM(I69)*SUM(I70)+SUM(I71)*SUM(I72)+SUM(I73)*SUM(I74)+SUM(I75)*SUM(I76)+SUM(I77)*SUM(I78)+SUM(I79)*SUM(I80)+SUM(I81)*SUM(I82)+SUM(I83)*SUM(I84)+SUM(I85)*SUM(I86)+SUM(I87)*SUM(I88)+SUM(I89)*SUM(I90)+SUM(X65)*SUM(X66)+SUM(X67)*SUM(X68)+SUM(X69)*SUM(X70)+SUM(X71)*SUM(X72)+SUM(X73)*SUM(X74)+SUM(X75)*SUM(X76)+SUM(X77)*SUM(X78)+SUM(X79)*SUM(X80)+SUM(X81)*SUM(X82)+SUM(X85)*SUM(X86)+SUM(X87)*SUM(X88))/SUM(I67),0))</f>
        <v>0</v>
      </c>
      <c r="Y89" s="285">
        <f t="shared" si="4"/>
        <v>0</v>
      </c>
      <c r="Z89" s="285">
        <f t="shared" si="4"/>
        <v>0</v>
      </c>
      <c r="AA89" s="285">
        <f t="shared" si="4"/>
        <v>0</v>
      </c>
      <c r="AB89" s="285">
        <f t="shared" si="4"/>
        <v>0</v>
      </c>
      <c r="AC89" s="281">
        <f t="shared" si="4"/>
        <v>0</v>
      </c>
      <c r="AD89" s="282"/>
      <c r="AE89" s="252">
        <f>ROUND(SUM(P65:Q90,AE65:AE88),0)</f>
        <v>0</v>
      </c>
      <c r="AF89" s="64"/>
    </row>
    <row r="90" spans="1:33" s="55" customFormat="1" ht="24.95" customHeight="1" thickBot="1" x14ac:dyDescent="0.25">
      <c r="A90" s="481"/>
      <c r="B90" s="482"/>
      <c r="C90" s="482"/>
      <c r="D90" s="482"/>
      <c r="E90" s="482"/>
      <c r="F90" s="482"/>
      <c r="G90" s="487" t="s">
        <v>33</v>
      </c>
      <c r="H90" s="488"/>
      <c r="I90" s="190"/>
      <c r="J90" s="111"/>
      <c r="K90" s="111"/>
      <c r="L90" s="111"/>
      <c r="M90" s="112" t="s">
        <v>32</v>
      </c>
      <c r="N90" s="485" t="s">
        <v>32</v>
      </c>
      <c r="O90" s="486"/>
      <c r="P90" s="319"/>
      <c r="Q90" s="320"/>
      <c r="R90" s="476"/>
      <c r="S90" s="477"/>
      <c r="T90" s="477"/>
      <c r="U90" s="477"/>
      <c r="V90" s="477"/>
      <c r="W90" s="478"/>
      <c r="X90" s="480"/>
      <c r="Y90" s="286"/>
      <c r="Z90" s="286"/>
      <c r="AA90" s="286"/>
      <c r="AB90" s="286"/>
      <c r="AC90" s="283"/>
      <c r="AD90" s="284"/>
      <c r="AE90" s="349"/>
      <c r="AF90" s="64"/>
    </row>
    <row r="91" spans="1:33" s="55" customFormat="1" ht="24" customHeight="1" thickTop="1" x14ac:dyDescent="0.2">
      <c r="A91" s="483"/>
      <c r="B91" s="483"/>
      <c r="C91" s="483"/>
      <c r="D91" s="483"/>
      <c r="E91" s="483"/>
      <c r="F91" s="483"/>
      <c r="G91" s="484"/>
      <c r="H91" s="484"/>
      <c r="I91" s="76"/>
      <c r="J91" s="76"/>
      <c r="K91" s="76"/>
      <c r="L91" s="76"/>
      <c r="M91" s="35"/>
      <c r="N91" s="287"/>
      <c r="O91" s="287"/>
      <c r="P91" s="36"/>
      <c r="Q91" s="31"/>
      <c r="R91" s="49"/>
      <c r="S91" s="29"/>
      <c r="T91" s="30"/>
      <c r="U91" s="77"/>
      <c r="V91" s="77"/>
      <c r="W91" s="77"/>
      <c r="X91" s="91"/>
      <c r="Y91" s="92"/>
      <c r="Z91" s="92"/>
      <c r="AA91" s="92"/>
      <c r="AB91" s="92"/>
      <c r="AC91" s="317"/>
      <c r="AD91" s="317"/>
      <c r="AE91" s="317"/>
      <c r="AF91" s="64"/>
    </row>
    <row r="92" spans="1:33" s="55" customFormat="1" ht="23.25" x14ac:dyDescent="0.2">
      <c r="A92" s="324">
        <f>$A$50</f>
        <v>0</v>
      </c>
      <c r="B92" s="324"/>
      <c r="C92" s="324"/>
      <c r="D92" s="324"/>
      <c r="E92" s="324"/>
      <c r="F92" s="324"/>
      <c r="G92" s="324"/>
      <c r="H92" s="324"/>
      <c r="I92" s="324"/>
      <c r="J92" s="324"/>
      <c r="K92" s="32"/>
      <c r="L92" s="32"/>
      <c r="M92" s="32"/>
      <c r="N92" s="32"/>
      <c r="O92" s="32"/>
      <c r="P92" s="15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54"/>
      <c r="AC92" s="54"/>
      <c r="AD92" s="54"/>
      <c r="AE92" s="54"/>
      <c r="AF92" s="64"/>
    </row>
    <row r="93" spans="1:33" s="55" customFormat="1" ht="23.25" x14ac:dyDescent="0.2">
      <c r="A93" s="292">
        <f>$A$51</f>
        <v>0</v>
      </c>
      <c r="B93" s="292"/>
      <c r="C93" s="292"/>
      <c r="D93" s="40"/>
      <c r="E93" s="46"/>
      <c r="F93" s="46"/>
      <c r="G93" s="40"/>
      <c r="H93" s="292">
        <f>$M$51</f>
        <v>0</v>
      </c>
      <c r="I93" s="292"/>
      <c r="J93" s="292"/>
      <c r="K93" s="54"/>
      <c r="L93" s="54"/>
      <c r="M93" s="54"/>
      <c r="N93" s="54"/>
      <c r="O93" s="32"/>
      <c r="P93" s="15"/>
      <c r="Q93" s="32"/>
      <c r="R93" s="32"/>
      <c r="S93" s="32"/>
      <c r="T93" s="15"/>
      <c r="U93" s="32"/>
      <c r="V93" s="32"/>
      <c r="W93" s="15"/>
      <c r="X93" s="32"/>
      <c r="Y93" s="32"/>
      <c r="Z93" s="32"/>
      <c r="AA93" s="54"/>
      <c r="AB93" s="54"/>
      <c r="AC93" s="54"/>
      <c r="AD93" s="54"/>
      <c r="AE93" s="54"/>
      <c r="AF93" s="64"/>
    </row>
    <row r="94" spans="1:33" s="55" customFormat="1" ht="36" customHeight="1" x14ac:dyDescent="0.4">
      <c r="A94" s="324">
        <f>$A$52</f>
        <v>0</v>
      </c>
      <c r="B94" s="324"/>
      <c r="C94" s="324"/>
      <c r="D94" s="324"/>
      <c r="E94" s="324"/>
      <c r="F94" s="324"/>
      <c r="G94" s="324"/>
      <c r="H94" s="324"/>
      <c r="I94" s="324"/>
      <c r="J94" s="324"/>
      <c r="K94" s="78"/>
      <c r="L94" s="78"/>
      <c r="M94" s="78"/>
      <c r="N94" s="78"/>
      <c r="O94" s="78"/>
      <c r="P94" s="15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78"/>
      <c r="AB94" s="54"/>
      <c r="AC94" s="79"/>
      <c r="AD94" s="54"/>
      <c r="AE94" s="75"/>
      <c r="AF94" s="64"/>
    </row>
    <row r="95" spans="1:33" s="55" customFormat="1" ht="23.25" x14ac:dyDescent="0.3">
      <c r="A95" s="292">
        <f>$A$53</f>
        <v>0</v>
      </c>
      <c r="B95" s="292"/>
      <c r="C95" s="292"/>
      <c r="D95" s="40"/>
      <c r="E95" s="46"/>
      <c r="F95" s="46"/>
      <c r="G95" s="40"/>
      <c r="H95" s="292">
        <f>$M$53</f>
        <v>0</v>
      </c>
      <c r="I95" s="292"/>
      <c r="J95" s="292"/>
      <c r="K95" s="54"/>
      <c r="L95" s="54"/>
      <c r="M95" s="54"/>
      <c r="N95" s="54"/>
      <c r="O95" s="32"/>
      <c r="P95" s="15"/>
      <c r="Q95" s="32"/>
      <c r="R95" s="32"/>
      <c r="S95" s="32"/>
      <c r="T95" s="15"/>
      <c r="U95" s="32"/>
      <c r="V95" s="32"/>
      <c r="W95" s="15"/>
      <c r="X95" s="32"/>
      <c r="Y95" s="32"/>
      <c r="Z95" s="32"/>
      <c r="AA95" s="54"/>
      <c r="AB95" s="54"/>
      <c r="AC95" s="54"/>
      <c r="AD95" s="54"/>
      <c r="AE95" s="79"/>
      <c r="AF95" s="65"/>
      <c r="AG95" s="56"/>
    </row>
    <row r="96" spans="1:33" s="55" customFormat="1" ht="33.75" customHeight="1" x14ac:dyDescent="0.4">
      <c r="A96" s="293">
        <f ca="1">TODAY()</f>
        <v>45061</v>
      </c>
      <c r="B96" s="293"/>
      <c r="C96" s="59" t="s">
        <v>7</v>
      </c>
      <c r="D96" s="59"/>
      <c r="E96" s="40"/>
      <c r="F96" s="40"/>
      <c r="G96" s="40"/>
      <c r="H96" s="40"/>
      <c r="I96" s="40"/>
      <c r="J96" s="40"/>
      <c r="K96" s="15"/>
      <c r="L96" s="15"/>
      <c r="M96" s="15"/>
      <c r="N96" s="15"/>
      <c r="O96" s="15"/>
      <c r="P96" s="15"/>
      <c r="Q96" s="33"/>
      <c r="R96" s="33"/>
      <c r="S96" s="34"/>
      <c r="T96" s="34"/>
      <c r="U96" s="15"/>
      <c r="V96" s="15"/>
      <c r="W96" s="15"/>
      <c r="X96" s="15"/>
      <c r="Y96" s="15"/>
      <c r="Z96" s="15"/>
      <c r="AA96" s="15"/>
      <c r="AB96" s="54"/>
      <c r="AC96" s="54"/>
      <c r="AD96" s="54"/>
      <c r="AE96" s="80"/>
      <c r="AF96" s="64"/>
    </row>
    <row r="97" spans="1:32" s="55" customFormat="1" ht="12.75" customHeight="1" x14ac:dyDescent="0.2">
      <c r="A97" s="350"/>
      <c r="B97" s="350"/>
      <c r="C97" s="350"/>
      <c r="D97" s="350"/>
      <c r="E97" s="350"/>
      <c r="F97" s="350"/>
      <c r="G97" s="350"/>
      <c r="H97" s="350"/>
      <c r="I97" s="350"/>
      <c r="J97" s="350"/>
      <c r="K97" s="350"/>
      <c r="L97" s="16"/>
      <c r="M97" s="16"/>
      <c r="N97" s="16"/>
      <c r="O97" s="16"/>
      <c r="P97" s="16"/>
      <c r="Q97" s="16"/>
      <c r="R97" s="16"/>
      <c r="S97" s="16"/>
      <c r="T97" s="16"/>
      <c r="U97" s="16"/>
      <c r="V97" s="16"/>
      <c r="W97" s="16"/>
      <c r="X97" s="16"/>
      <c r="Y97" s="16"/>
      <c r="Z97" s="16"/>
      <c r="AA97" s="16"/>
      <c r="AB97" s="54"/>
      <c r="AC97" s="54"/>
      <c r="AD97" s="54"/>
      <c r="AE97" s="54"/>
      <c r="AF97" s="64"/>
    </row>
    <row r="98" spans="1:32" s="55" customFormat="1" x14ac:dyDescent="0.2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64"/>
    </row>
    <row r="99" spans="1:32" s="55" customFormat="1" x14ac:dyDescent="0.2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64"/>
    </row>
    <row r="100" spans="1:32" s="55" customFormat="1" x14ac:dyDescent="0.2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64"/>
    </row>
    <row r="101" spans="1:32" s="55" customFormat="1" x14ac:dyDescent="0.2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64"/>
    </row>
    <row r="102" spans="1:32" s="55" customFormat="1" ht="26.25" x14ac:dyDescent="0.2">
      <c r="A102" s="147"/>
      <c r="B102" s="147"/>
      <c r="C102" s="147"/>
      <c r="D102" s="147"/>
      <c r="E102" s="147"/>
      <c r="F102" s="147"/>
      <c r="G102" s="147"/>
      <c r="H102" s="147"/>
      <c r="I102" s="147"/>
      <c r="J102" s="147"/>
      <c r="K102" s="147"/>
      <c r="L102" s="139"/>
      <c r="M102" s="139"/>
      <c r="N102" s="139"/>
      <c r="O102" s="139"/>
      <c r="P102" s="139"/>
      <c r="Q102" s="139"/>
      <c r="R102" s="139"/>
      <c r="S102" s="139"/>
      <c r="T102" s="139"/>
      <c r="U102" s="139"/>
      <c r="V102" s="147"/>
      <c r="W102" s="148"/>
      <c r="X102" s="148"/>
      <c r="Y102" s="148"/>
      <c r="Z102" s="149"/>
      <c r="AA102" s="147"/>
      <c r="AB102" s="147"/>
      <c r="AC102" s="149"/>
      <c r="AD102" s="150" t="s">
        <v>64</v>
      </c>
      <c r="AE102" s="139"/>
      <c r="AF102" s="64"/>
    </row>
    <row r="103" spans="1:32" s="55" customFormat="1" ht="54.75" customHeight="1" x14ac:dyDescent="0.2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39"/>
      <c r="Q103" s="139"/>
      <c r="R103" s="139"/>
      <c r="S103" s="139"/>
      <c r="T103" s="139"/>
      <c r="U103" s="139"/>
      <c r="V103" s="354" t="str">
        <f>V1</f>
        <v>Начальнику забезпечувального фінансового органу
(Відповідальному за бюджетну підпрограму)</v>
      </c>
      <c r="W103" s="354"/>
      <c r="X103" s="354"/>
      <c r="Y103" s="354"/>
      <c r="Z103" s="354"/>
      <c r="AA103" s="354"/>
      <c r="AB103" s="354"/>
      <c r="AC103" s="354"/>
      <c r="AD103" s="354"/>
      <c r="AE103" s="354"/>
      <c r="AF103" s="64"/>
    </row>
    <row r="104" spans="1:32" s="55" customFormat="1" ht="27" x14ac:dyDescent="0.2">
      <c r="A104" s="151"/>
      <c r="B104" s="151"/>
      <c r="C104" s="151"/>
      <c r="D104" s="142"/>
      <c r="E104" s="142"/>
      <c r="F104" s="151"/>
      <c r="G104" s="151"/>
      <c r="H104" s="151"/>
      <c r="I104" s="151"/>
      <c r="J104" s="151"/>
      <c r="K104" s="151"/>
      <c r="L104" s="262"/>
      <c r="M104" s="262"/>
      <c r="N104" s="262"/>
      <c r="O104" s="262"/>
      <c r="P104" s="139"/>
      <c r="Q104" s="139"/>
      <c r="R104" s="139"/>
      <c r="S104" s="139"/>
      <c r="T104" s="139"/>
      <c r="U104" s="139"/>
      <c r="V104" s="152" t="s">
        <v>5</v>
      </c>
      <c r="W104" s="147"/>
      <c r="X104" s="152"/>
      <c r="Y104" s="153"/>
      <c r="Z104" s="153"/>
      <c r="AA104" s="147"/>
      <c r="AB104" s="147"/>
      <c r="AC104" s="365">
        <f>$AB$3</f>
        <v>0</v>
      </c>
      <c r="AD104" s="365"/>
      <c r="AE104" s="365"/>
      <c r="AF104" s="64"/>
    </row>
    <row r="105" spans="1:32" s="55" customFormat="1" ht="22.5" x14ac:dyDescent="0.2">
      <c r="A105" s="351"/>
      <c r="B105" s="351"/>
      <c r="C105" s="351"/>
      <c r="D105" s="151"/>
      <c r="E105" s="151"/>
      <c r="F105" s="151"/>
      <c r="G105" s="151"/>
      <c r="H105" s="151"/>
      <c r="I105" s="151"/>
      <c r="J105" s="151"/>
      <c r="K105" s="366"/>
      <c r="L105" s="366"/>
      <c r="M105" s="366"/>
      <c r="N105" s="366"/>
      <c r="O105" s="366"/>
      <c r="P105" s="139"/>
      <c r="Q105" s="139"/>
      <c r="R105" s="139"/>
      <c r="S105" s="139"/>
      <c r="T105" s="139"/>
      <c r="U105" s="139"/>
      <c r="V105" s="139"/>
      <c r="W105" s="139"/>
      <c r="X105" s="139"/>
      <c r="Y105" s="139"/>
      <c r="Z105" s="139"/>
      <c r="AA105" s="139"/>
      <c r="AB105" s="139"/>
      <c r="AC105" s="139"/>
      <c r="AD105" s="139"/>
      <c r="AE105" s="139"/>
      <c r="AF105" s="64"/>
    </row>
    <row r="106" spans="1:32" s="55" customFormat="1" ht="9.75" customHeight="1" x14ac:dyDescent="0.2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39"/>
      <c r="Q106" s="139"/>
      <c r="R106" s="139"/>
      <c r="S106" s="139"/>
      <c r="T106" s="139"/>
      <c r="U106" s="139"/>
      <c r="V106" s="139"/>
      <c r="W106" s="139"/>
      <c r="X106" s="139"/>
      <c r="Y106" s="139"/>
      <c r="Z106" s="139"/>
      <c r="AA106" s="139"/>
      <c r="AB106" s="139"/>
      <c r="AC106" s="139"/>
      <c r="AD106" s="139"/>
      <c r="AE106" s="139"/>
      <c r="AF106" s="64"/>
    </row>
    <row r="107" spans="1:32" s="55" customFormat="1" ht="23.25" x14ac:dyDescent="0.2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342"/>
      <c r="L107" s="342"/>
      <c r="M107" s="342"/>
      <c r="N107" s="154"/>
      <c r="O107" s="154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64"/>
    </row>
    <row r="108" spans="1:32" s="55" customFormat="1" ht="18.75" x14ac:dyDescent="0.2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39"/>
      <c r="Q108" s="139"/>
      <c r="R108" s="139"/>
      <c r="S108" s="139"/>
      <c r="T108" s="139"/>
      <c r="U108" s="139"/>
      <c r="V108" s="139"/>
      <c r="W108" s="139"/>
      <c r="X108" s="139"/>
      <c r="Y108" s="139"/>
      <c r="Z108" s="139"/>
      <c r="AA108" s="139"/>
      <c r="AB108" s="139"/>
      <c r="AC108" s="139"/>
      <c r="AD108" s="139"/>
      <c r="AE108" s="139"/>
      <c r="AF108" s="64"/>
    </row>
    <row r="109" spans="1:32" s="55" customFormat="1" ht="30" x14ac:dyDescent="0.2">
      <c r="A109" s="280" t="s">
        <v>154</v>
      </c>
      <c r="B109" s="280"/>
      <c r="C109" s="280"/>
      <c r="D109" s="280"/>
      <c r="E109" s="280"/>
      <c r="F109" s="280"/>
      <c r="G109" s="280"/>
      <c r="H109" s="280"/>
      <c r="I109" s="280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64"/>
    </row>
    <row r="110" spans="1:32" s="55" customFormat="1" ht="27" x14ac:dyDescent="0.2">
      <c r="A110" s="355" t="s">
        <v>264</v>
      </c>
      <c r="B110" s="355"/>
      <c r="C110" s="355"/>
      <c r="D110" s="355"/>
      <c r="E110" s="355"/>
      <c r="F110" s="355"/>
      <c r="G110" s="355"/>
      <c r="H110" s="355"/>
      <c r="I110" s="355"/>
      <c r="J110" s="355"/>
      <c r="K110" s="355"/>
      <c r="L110" s="355"/>
      <c r="M110" s="355"/>
      <c r="N110" s="355"/>
      <c r="O110" s="355"/>
      <c r="P110" s="355"/>
      <c r="Q110" s="355"/>
      <c r="R110" s="355"/>
      <c r="S110" s="355"/>
      <c r="T110" s="355"/>
      <c r="U110" s="355"/>
      <c r="V110" s="355"/>
      <c r="W110" s="355"/>
      <c r="X110" s="355"/>
      <c r="Y110" s="355"/>
      <c r="Z110" s="355"/>
      <c r="AA110" s="355"/>
      <c r="AB110" s="355"/>
      <c r="AC110" s="355"/>
      <c r="AD110" s="355"/>
      <c r="AE110" s="355"/>
      <c r="AF110" s="64"/>
    </row>
    <row r="111" spans="1:32" s="55" customFormat="1" ht="33.75" customHeight="1" x14ac:dyDescent="0.2">
      <c r="A111" s="352">
        <f>$H$7</f>
        <v>0</v>
      </c>
      <c r="B111" s="352"/>
      <c r="C111" s="352"/>
      <c r="D111" s="352"/>
      <c r="E111" s="352"/>
      <c r="F111" s="352"/>
      <c r="G111" s="352"/>
      <c r="H111" s="352"/>
      <c r="I111" s="352"/>
      <c r="J111" s="352"/>
      <c r="K111" s="352"/>
      <c r="L111" s="352"/>
      <c r="M111" s="352"/>
      <c r="N111" s="352"/>
      <c r="O111" s="352"/>
      <c r="P111" s="352"/>
      <c r="Q111" s="352"/>
      <c r="R111" s="352"/>
      <c r="S111" s="352"/>
      <c r="T111" s="352"/>
      <c r="U111" s="352"/>
      <c r="V111" s="352"/>
      <c r="W111" s="352"/>
      <c r="X111" s="352"/>
      <c r="Y111" s="352"/>
      <c r="Z111" s="352"/>
      <c r="AA111" s="352"/>
      <c r="AB111" s="352"/>
      <c r="AC111" s="352"/>
      <c r="AD111" s="352"/>
      <c r="AE111" s="352"/>
      <c r="AF111" s="64"/>
    </row>
    <row r="112" spans="1:32" s="55" customFormat="1" ht="27" customHeight="1" thickBot="1" x14ac:dyDescent="0.25">
      <c r="A112" s="143" t="s">
        <v>6</v>
      </c>
      <c r="B112" s="144"/>
      <c r="C112" s="353">
        <f>$C$9</f>
        <v>0</v>
      </c>
      <c r="D112" s="353"/>
      <c r="E112" s="353"/>
      <c r="F112" s="151"/>
      <c r="G112" s="151"/>
      <c r="H112" s="273">
        <f>H8</f>
        <v>0</v>
      </c>
      <c r="I112" s="273"/>
      <c r="J112" s="273"/>
      <c r="K112" s="273"/>
      <c r="L112" s="273"/>
      <c r="M112" s="274"/>
      <c r="N112" s="274"/>
      <c r="O112" s="274"/>
      <c r="P112" s="274"/>
      <c r="Q112" s="274"/>
      <c r="R112" s="274"/>
      <c r="S112" s="274"/>
      <c r="T112" s="274"/>
      <c r="U112" s="274"/>
      <c r="V112" s="274"/>
      <c r="W112" s="274"/>
      <c r="X112" s="274"/>
      <c r="Y112" s="274"/>
      <c r="Z112" s="139"/>
      <c r="AA112" s="139"/>
      <c r="AB112" s="139"/>
      <c r="AC112" s="139"/>
      <c r="AD112" s="139"/>
      <c r="AE112" s="155" t="s">
        <v>54</v>
      </c>
      <c r="AF112" s="64"/>
    </row>
    <row r="113" spans="1:58" s="55" customFormat="1" ht="29.25" customHeight="1" thickTop="1" x14ac:dyDescent="0.2">
      <c r="A113" s="325" t="s">
        <v>65</v>
      </c>
      <c r="B113" s="339" t="s">
        <v>66</v>
      </c>
      <c r="C113" s="339"/>
      <c r="D113" s="339"/>
      <c r="E113" s="339" t="s">
        <v>67</v>
      </c>
      <c r="F113" s="339"/>
      <c r="G113" s="356" t="s">
        <v>168</v>
      </c>
      <c r="H113" s="357"/>
      <c r="I113" s="358"/>
      <c r="J113" s="367" t="s">
        <v>268</v>
      </c>
      <c r="K113" s="368"/>
      <c r="L113" s="372" t="s">
        <v>72</v>
      </c>
      <c r="M113" s="880" t="s">
        <v>68</v>
      </c>
      <c r="N113" s="881"/>
      <c r="O113" s="881"/>
      <c r="P113" s="881"/>
      <c r="Q113" s="881"/>
      <c r="R113" s="881"/>
      <c r="S113" s="881"/>
      <c r="T113" s="881"/>
      <c r="U113" s="881"/>
      <c r="V113" s="881"/>
      <c r="W113" s="881"/>
      <c r="X113" s="881"/>
      <c r="Y113" s="881"/>
      <c r="Z113" s="881"/>
      <c r="AA113" s="881"/>
      <c r="AB113" s="911" t="s">
        <v>94</v>
      </c>
      <c r="AC113" s="328" t="s">
        <v>261</v>
      </c>
      <c r="AD113" s="329"/>
      <c r="AE113" s="259" t="s">
        <v>300</v>
      </c>
      <c r="AF113" s="64"/>
      <c r="AG113" s="249" t="s">
        <v>235</v>
      </c>
      <c r="AQ113" s="249" t="s">
        <v>273</v>
      </c>
      <c r="AR113" s="910" t="s">
        <v>294</v>
      </c>
      <c r="AS113" s="910"/>
      <c r="AT113" s="910"/>
      <c r="AU113" s="910"/>
      <c r="AV113" s="910"/>
      <c r="AW113" s="910"/>
      <c r="AX113" s="910"/>
      <c r="AY113" s="910"/>
      <c r="AZ113" s="910"/>
      <c r="BA113" s="910"/>
      <c r="BB113" s="910"/>
      <c r="BC113" s="910"/>
      <c r="BD113" s="910"/>
      <c r="BE113" s="910"/>
      <c r="BF113" s="249" t="s">
        <v>296</v>
      </c>
    </row>
    <row r="114" spans="1:58" s="55" customFormat="1" ht="94.5" customHeight="1" x14ac:dyDescent="0.2">
      <c r="A114" s="326"/>
      <c r="B114" s="340"/>
      <c r="C114" s="340"/>
      <c r="D114" s="340"/>
      <c r="E114" s="340"/>
      <c r="F114" s="340"/>
      <c r="G114" s="359"/>
      <c r="H114" s="360"/>
      <c r="I114" s="361"/>
      <c r="J114" s="269"/>
      <c r="K114" s="369"/>
      <c r="L114" s="373"/>
      <c r="M114" s="343" t="s">
        <v>71</v>
      </c>
      <c r="N114" s="344"/>
      <c r="O114" s="347" t="s">
        <v>93</v>
      </c>
      <c r="P114" s="344"/>
      <c r="Q114" s="377" t="s">
        <v>148</v>
      </c>
      <c r="R114" s="378"/>
      <c r="S114" s="378"/>
      <c r="T114" s="379"/>
      <c r="U114" s="315" t="s">
        <v>153</v>
      </c>
      <c r="V114" s="311" t="s">
        <v>95</v>
      </c>
      <c r="W114" s="375"/>
      <c r="X114" s="311" t="s">
        <v>96</v>
      </c>
      <c r="Y114" s="312"/>
      <c r="Z114" s="311" t="s">
        <v>182</v>
      </c>
      <c r="AA114" s="882" t="s">
        <v>293</v>
      </c>
      <c r="AB114" s="912"/>
      <c r="AC114" s="330"/>
      <c r="AD114" s="331"/>
      <c r="AE114" s="260"/>
      <c r="AF114" s="64"/>
      <c r="AG114" s="250"/>
      <c r="AQ114" s="250"/>
      <c r="AR114" s="897" t="s">
        <v>291</v>
      </c>
      <c r="AS114" s="898"/>
      <c r="AT114" s="897" t="s">
        <v>285</v>
      </c>
      <c r="AU114" s="898"/>
      <c r="AV114" s="897" t="s">
        <v>292</v>
      </c>
      <c r="AW114" s="898"/>
      <c r="AX114" s="897" t="s">
        <v>288</v>
      </c>
      <c r="AY114" s="898"/>
      <c r="AZ114" s="897" t="s">
        <v>289</v>
      </c>
      <c r="BA114" s="898"/>
      <c r="BB114" s="897" t="s">
        <v>290</v>
      </c>
      <c r="BC114" s="898"/>
      <c r="BD114" s="897" t="s">
        <v>293</v>
      </c>
      <c r="BE114" s="898"/>
      <c r="BF114" s="250"/>
    </row>
    <row r="115" spans="1:58" s="55" customFormat="1" ht="72" customHeight="1" thickBot="1" x14ac:dyDescent="0.25">
      <c r="A115" s="327"/>
      <c r="B115" s="341"/>
      <c r="C115" s="341"/>
      <c r="D115" s="341"/>
      <c r="E115" s="341"/>
      <c r="F115" s="341"/>
      <c r="G115" s="362"/>
      <c r="H115" s="363"/>
      <c r="I115" s="364"/>
      <c r="J115" s="370"/>
      <c r="K115" s="371"/>
      <c r="L115" s="374"/>
      <c r="M115" s="345"/>
      <c r="N115" s="346"/>
      <c r="O115" s="348"/>
      <c r="P115" s="346"/>
      <c r="Q115" s="313" t="s">
        <v>69</v>
      </c>
      <c r="R115" s="314"/>
      <c r="S115" s="313" t="s">
        <v>70</v>
      </c>
      <c r="T115" s="314"/>
      <c r="U115" s="316"/>
      <c r="V115" s="313"/>
      <c r="W115" s="376"/>
      <c r="X115" s="313"/>
      <c r="Y115" s="314"/>
      <c r="Z115" s="313"/>
      <c r="AA115" s="883"/>
      <c r="AB115" s="913"/>
      <c r="AC115" s="332"/>
      <c r="AD115" s="333"/>
      <c r="AE115" s="261"/>
      <c r="AF115" s="64"/>
      <c r="AG115" s="251"/>
      <c r="AQ115" s="251"/>
      <c r="AR115" s="212" t="s">
        <v>287</v>
      </c>
      <c r="AS115" s="212" t="s">
        <v>286</v>
      </c>
      <c r="AT115" s="212" t="s">
        <v>287</v>
      </c>
      <c r="AU115" s="212" t="s">
        <v>286</v>
      </c>
      <c r="AV115" s="212" t="s">
        <v>287</v>
      </c>
      <c r="AW115" s="212" t="s">
        <v>286</v>
      </c>
      <c r="AX115" s="212" t="s">
        <v>287</v>
      </c>
      <c r="AY115" s="212" t="s">
        <v>286</v>
      </c>
      <c r="AZ115" s="212" t="s">
        <v>287</v>
      </c>
      <c r="BA115" s="212" t="s">
        <v>286</v>
      </c>
      <c r="BB115" s="212" t="s">
        <v>287</v>
      </c>
      <c r="BC115" s="212" t="s">
        <v>286</v>
      </c>
      <c r="BD115" s="212" t="s">
        <v>287</v>
      </c>
      <c r="BE115" s="212" t="s">
        <v>286</v>
      </c>
      <c r="BF115" s="251"/>
    </row>
    <row r="116" spans="1:58" s="55" customFormat="1" ht="39.950000000000003" customHeight="1" x14ac:dyDescent="0.2">
      <c r="A116" s="156">
        <v>1</v>
      </c>
      <c r="B116" s="394"/>
      <c r="C116" s="394"/>
      <c r="D116" s="394"/>
      <c r="E116" s="391"/>
      <c r="F116" s="391"/>
      <c r="G116" s="842"/>
      <c r="H116" s="843"/>
      <c r="I116" s="167"/>
      <c r="J116" s="878"/>
      <c r="K116" s="879"/>
      <c r="L116" s="168"/>
      <c r="M116" s="385"/>
      <c r="N116" s="386"/>
      <c r="O116" s="380"/>
      <c r="P116" s="380"/>
      <c r="Q116" s="380"/>
      <c r="R116" s="380"/>
      <c r="S116" s="380"/>
      <c r="T116" s="380"/>
      <c r="U116" s="214"/>
      <c r="V116" s="380"/>
      <c r="W116" s="380"/>
      <c r="X116" s="380"/>
      <c r="Y116" s="380"/>
      <c r="Z116" s="214"/>
      <c r="AA116" s="221"/>
      <c r="AB116" s="215">
        <f>ROUND((SUM(O116:Y116,AA116)+IF(NOT(E116="в/с строк. служби"),Z116,0))*0.18,0)*IF(ISERROR(VLOOKUP(E116,$A$193:$D$239,4,FALSE)),0,VLOOKUP(E116,$A$193:$D$239,4,FALSE))*IF(L116=0,0,1)*IF(AG116=1,0,1)</f>
        <v>0</v>
      </c>
      <c r="AC116" s="387">
        <f>ROUND(SUM(O116:AB116)*IF(ISERROR(VLOOKUP(E116,$A$193:$D$239,4,FALSE)),0,VLOOKUP(E116,$A$193:$D$239,4,FALSE))+IF(E116="в/с строк. служби",M116+ Q116+S116+Z116),0)*IF(L116=0,0,1)*IF(AG116=1,0,1)</f>
        <v>0</v>
      </c>
      <c r="AD116" s="388"/>
      <c r="AE116" s="216"/>
      <c r="AF116" s="202">
        <f>IF(OR(AND(I116="",SUM(M116:Z116)&lt;&gt;0),AND(L116="",SUM(M116:Z116)&lt;&gt;0)),0,1)*IF(ISERROR(YEAR($A$5)),0,IF(OR(AND(L116="",SUM(M116:Z116)=0),L116&gt;=DATE(YEAR($A$5),MONTH($A$5),1),AND(L116&lt;DATE(YEAR($A$5),MONTH($A$5),1),S116=0)),1,0))</f>
        <v>1</v>
      </c>
      <c r="AG116" s="171"/>
      <c r="AH116" s="179"/>
      <c r="AI116" s="179"/>
      <c r="AJ116" s="179"/>
      <c r="AK116" s="179"/>
      <c r="AL116" s="179"/>
      <c r="AM116" s="179"/>
      <c r="AN116" s="179"/>
      <c r="AO116" s="179"/>
      <c r="AP116" s="179"/>
      <c r="AQ116" s="201"/>
      <c r="AR116" s="213" t="b">
        <v>1</v>
      </c>
      <c r="AS116" s="213">
        <v>0</v>
      </c>
      <c r="AT116" s="213" t="b">
        <v>1</v>
      </c>
      <c r="AU116" s="213" t="b">
        <v>1</v>
      </c>
      <c r="AV116" s="213" t="b">
        <v>1</v>
      </c>
      <c r="AW116" s="213" t="b">
        <v>1</v>
      </c>
      <c r="AX116" s="213" t="b">
        <v>1</v>
      </c>
      <c r="AY116" s="213" t="b">
        <v>1</v>
      </c>
      <c r="AZ116" s="213" t="b">
        <v>1</v>
      </c>
      <c r="BA116" s="213" t="b">
        <v>1</v>
      </c>
      <c r="BB116" s="213" t="b">
        <v>1</v>
      </c>
      <c r="BC116" s="213"/>
      <c r="BD116" s="213" t="b">
        <v>1</v>
      </c>
      <c r="BE116" s="213" t="b">
        <v>1</v>
      </c>
      <c r="BF116" s="201">
        <f>IF(OR(I116="",ISERROR(VLOOKUP(E116,$A$193:$E$239,5,FALSE))),0,(VLOOKUP(E116,$A$193:$E$239,5,FALSE)))</f>
        <v>0</v>
      </c>
    </row>
    <row r="117" spans="1:58" s="55" customFormat="1" ht="39.950000000000003" customHeight="1" x14ac:dyDescent="0.2">
      <c r="A117" s="156">
        <v>2</v>
      </c>
      <c r="B117" s="239"/>
      <c r="C117" s="240"/>
      <c r="D117" s="241"/>
      <c r="E117" s="242"/>
      <c r="F117" s="243"/>
      <c r="G117" s="239"/>
      <c r="H117" s="240"/>
      <c r="I117" s="169"/>
      <c r="J117" s="244"/>
      <c r="K117" s="245"/>
      <c r="L117" s="170"/>
      <c r="M117" s="246"/>
      <c r="N117" s="247"/>
      <c r="O117" s="248"/>
      <c r="P117" s="247"/>
      <c r="Q117" s="248"/>
      <c r="R117" s="247"/>
      <c r="S117" s="248"/>
      <c r="T117" s="247"/>
      <c r="U117" s="214"/>
      <c r="V117" s="248"/>
      <c r="W117" s="247"/>
      <c r="X117" s="248"/>
      <c r="Y117" s="247"/>
      <c r="Z117" s="214"/>
      <c r="AA117" s="222"/>
      <c r="AB117" s="217">
        <f>ROUND((SUM(O117:Y117,AA117)+IF(NOT(E117="в/с строк. служби"),Z117,0))*0.18,0)*IF(ISERROR(VLOOKUP(E117,$A$193:$D$239,4,FALSE)),0,VLOOKUP(E117,$A$193:$D$239,4,FALSE))*IF(L117=0,0,1)*IF(AG117=1,0,1)</f>
        <v>0</v>
      </c>
      <c r="AC117" s="389">
        <f>ROUND(SUM(O117:AB117)*IF(ISERROR(VLOOKUP(E117,$A$193:$D$239,4,FALSE)),0,VLOOKUP(E117,$A$193:$D$239,4,FALSE))+IF(E117="в/с строк. служби",M117+ Q117+S117+Z117),0)*IF(L117=0,0,1)*IF(AG117=1,0,1)</f>
        <v>0</v>
      </c>
      <c r="AD117" s="390"/>
      <c r="AE117" s="218"/>
      <c r="AF117" s="85">
        <f>IF(OR(AND(I117="",SUM(M117:Z117)&lt;&gt;0),AND(L117="",SUM(M117:Z117)&lt;&gt;0)),0,1)*IF(ISERROR(YEAR($A$5)),0,IF(OR(AND(L117="",SUM(M117:Z117)=0),L117&gt;=DATE(YEAR($A$5),MONTH($A$5),1),AND(L117&lt;DATE(YEAR($A$5),MONTH($A$5),1),S117=0)),1,0))</f>
        <v>1</v>
      </c>
      <c r="AG117" s="171"/>
      <c r="AH117" s="179"/>
      <c r="AI117" s="179"/>
      <c r="AJ117" s="179"/>
      <c r="AK117" s="179"/>
      <c r="AL117" s="179"/>
      <c r="AM117" s="179"/>
      <c r="AN117" s="179"/>
      <c r="AO117" s="179"/>
      <c r="AP117" s="179"/>
      <c r="AQ117" s="201"/>
      <c r="AR117" s="213" t="b">
        <v>1</v>
      </c>
      <c r="AS117" s="213">
        <v>0</v>
      </c>
      <c r="AT117" s="213" t="b">
        <v>1</v>
      </c>
      <c r="AU117" s="213" t="b">
        <v>1</v>
      </c>
      <c r="AV117" s="213" t="b">
        <v>1</v>
      </c>
      <c r="AW117" s="213" t="b">
        <v>1</v>
      </c>
      <c r="AX117" s="213" t="b">
        <v>1</v>
      </c>
      <c r="AY117" s="213" t="b">
        <v>1</v>
      </c>
      <c r="AZ117" s="213" t="b">
        <v>1</v>
      </c>
      <c r="BA117" s="213" t="b">
        <v>1</v>
      </c>
      <c r="BB117" s="213" t="b">
        <v>1</v>
      </c>
      <c r="BC117" s="213"/>
      <c r="BD117" s="213" t="b">
        <v>1</v>
      </c>
      <c r="BE117" s="213" t="b">
        <v>1</v>
      </c>
      <c r="BF117" s="201">
        <f>IF(OR(I117="",ISERROR(VLOOKUP(E117,$A$193:$E$239,5,FALSE))),0,(VLOOKUP(E117,$A$193:$E$239,5,FALSE)))</f>
        <v>0</v>
      </c>
    </row>
    <row r="118" spans="1:58" s="55" customFormat="1" ht="39.950000000000003" customHeight="1" x14ac:dyDescent="0.2">
      <c r="A118" s="156">
        <v>3</v>
      </c>
      <c r="B118" s="239"/>
      <c r="C118" s="240"/>
      <c r="D118" s="241"/>
      <c r="E118" s="242"/>
      <c r="F118" s="243"/>
      <c r="G118" s="239"/>
      <c r="H118" s="240"/>
      <c r="I118" s="169"/>
      <c r="J118" s="244"/>
      <c r="K118" s="245"/>
      <c r="L118" s="170"/>
      <c r="M118" s="246"/>
      <c r="N118" s="247"/>
      <c r="O118" s="248"/>
      <c r="P118" s="247"/>
      <c r="Q118" s="248"/>
      <c r="R118" s="247"/>
      <c r="S118" s="248"/>
      <c r="T118" s="247"/>
      <c r="U118" s="214"/>
      <c r="V118" s="248"/>
      <c r="W118" s="247"/>
      <c r="X118" s="248"/>
      <c r="Y118" s="247"/>
      <c r="Z118" s="214"/>
      <c r="AA118" s="222"/>
      <c r="AB118" s="217">
        <f>ROUND((SUM(O118:Y118,AA118)+IF(NOT(E118="в/с строк. служби"),Z118,0))*0.18,0)*IF(ISERROR(VLOOKUP(E118,$A$193:$D$239,4,FALSE)),0,VLOOKUP(E118,$A$193:$D$239,4,FALSE))*IF(L118=0,0,1)*IF(AG118=1,0,1)</f>
        <v>0</v>
      </c>
      <c r="AC118" s="389">
        <f>ROUND(SUM(O118:AB118)*IF(ISERROR(VLOOKUP(E118,$A$193:$D$239,4,FALSE)),0,VLOOKUP(E118,$A$193:$D$239,4,FALSE))+IF(E118="в/с строк. служби",M118+ Q118+S118+Z118),0)*IF(L118=0,0,1)*IF(AG118=1,0,1)</f>
        <v>0</v>
      </c>
      <c r="AD118" s="390"/>
      <c r="AE118" s="218"/>
      <c r="AF118" s="85">
        <f>IF(OR(AND(I118="",SUM(M118:Z118)&lt;&gt;0),AND(L118="",SUM(M118:Z118)&lt;&gt;0)),0,1)*IF(ISERROR(YEAR($A$5)),0,IF(OR(AND(L118="",SUM(M118:Z118)=0),L118&gt;=DATE(YEAR($A$5),MONTH($A$5),1),AND(L118&lt;DATE(YEAR($A$5),MONTH($A$5),1),S118=0)),1,0))</f>
        <v>1</v>
      </c>
      <c r="AG118" s="171"/>
      <c r="AH118" s="179"/>
      <c r="AI118" s="179"/>
      <c r="AJ118" s="179"/>
      <c r="AK118" s="179"/>
      <c r="AL118" s="179"/>
      <c r="AM118" s="179"/>
      <c r="AN118" s="179"/>
      <c r="AO118" s="179"/>
      <c r="AP118" s="179"/>
      <c r="AQ118" s="201"/>
      <c r="AR118" s="213" t="b">
        <v>1</v>
      </c>
      <c r="AS118" s="213">
        <v>0</v>
      </c>
      <c r="AT118" s="213" t="b">
        <v>1</v>
      </c>
      <c r="AU118" s="213" t="b">
        <v>1</v>
      </c>
      <c r="AV118" s="213" t="b">
        <v>1</v>
      </c>
      <c r="AW118" s="213" t="b">
        <v>1</v>
      </c>
      <c r="AX118" s="213" t="b">
        <v>1</v>
      </c>
      <c r="AY118" s="213" t="b">
        <v>1</v>
      </c>
      <c r="AZ118" s="213" t="b">
        <v>1</v>
      </c>
      <c r="BA118" s="213" t="b">
        <v>1</v>
      </c>
      <c r="BB118" s="213" t="b">
        <v>1</v>
      </c>
      <c r="BC118" s="213"/>
      <c r="BD118" s="213" t="b">
        <v>1</v>
      </c>
      <c r="BE118" s="213" t="b">
        <v>1</v>
      </c>
      <c r="BF118" s="201">
        <f>IF(OR(I118="",ISERROR(VLOOKUP(E118,$A$193:$E$239,5,FALSE))),0,(VLOOKUP(E118,$A$193:$E$239,5,FALSE)))</f>
        <v>0</v>
      </c>
    </row>
    <row r="119" spans="1:58" s="55" customFormat="1" ht="27" customHeight="1" thickBot="1" x14ac:dyDescent="0.25">
      <c r="A119" s="415" t="s">
        <v>3</v>
      </c>
      <c r="B119" s="416"/>
      <c r="C119" s="416"/>
      <c r="D119" s="416"/>
      <c r="E119" s="416"/>
      <c r="F119" s="416"/>
      <c r="G119" s="416"/>
      <c r="H119" s="416"/>
      <c r="I119" s="416"/>
      <c r="J119" s="416"/>
      <c r="K119" s="417"/>
      <c r="L119" s="157"/>
      <c r="M119" s="414">
        <f>ROUND(SUMIF($E116:$E118,"в/с строк. служби",M116:M118),2)*$AF119</f>
        <v>0</v>
      </c>
      <c r="N119" s="393"/>
      <c r="O119" s="392">
        <f>ROUND(SUM(O116:O118)-SUMIF($E116:$E118,"",O116:O118)-SUMIF($E116:$E118,"в/с строк. служби",O116:O118),2)*$AF119</f>
        <v>0</v>
      </c>
      <c r="P119" s="393"/>
      <c r="Q119" s="392">
        <f>ROUND(SUM(Q116:Q118)-SUMIF($E116:$E118,"",Q116:Q118),2)*$AF119</f>
        <v>0</v>
      </c>
      <c r="R119" s="393"/>
      <c r="S119" s="392">
        <f>ROUND(SUM(S116:S118)-SUMIF($E116:$E118,"",S116:S118),2)*$AF119</f>
        <v>0</v>
      </c>
      <c r="T119" s="393"/>
      <c r="U119" s="219">
        <f>ROUND(SUM(U116:U118)-SUMIF($E116:$E118,"",U116:U118)-SUMIF($E116:$E118,"в/с строк. служби",U116:U118),2)*$AF119</f>
        <v>0</v>
      </c>
      <c r="V119" s="392">
        <f>ROUND(SUM(V116:V118)-SUMIF($E116:$E118,"",V116:V118)-SUMIF($E116:$E118,"в/с строк. служби",V116:V118),2)*$AF119</f>
        <v>0</v>
      </c>
      <c r="W119" s="393"/>
      <c r="X119" s="392">
        <f>ROUND(SUM(X116:X118)-SUMIF($E116:$E118,"",X116:X118)-SUMIF($E116:$E118,"в/с строк. служби",X116:X118),2)*$AF119</f>
        <v>0</v>
      </c>
      <c r="Y119" s="393"/>
      <c r="Z119" s="219">
        <f>ROUND(SUM(Z116:Z118)-SUMIF($E116:$E118,"",Z116:Z118),2)*$AF119</f>
        <v>0</v>
      </c>
      <c r="AA119" s="223">
        <f>ROUND(SUM(AA116:AA118)-SUMIF($E116:$E118,"",AA116:AA118)-SUMIF($E116:$E118,"в/с строк. служби",AA116:AA118),2)*$AF119</f>
        <v>0</v>
      </c>
      <c r="AB119" s="224">
        <f>ROUND(SUM(AB116:AB118),2)*$AF119</f>
        <v>0</v>
      </c>
      <c r="AC119" s="383">
        <f>ROUND(SUM(AC116:AD118),2)*$AF119</f>
        <v>0</v>
      </c>
      <c r="AD119" s="384"/>
      <c r="AE119" s="220">
        <f>ROUND(SUM(AE116:AE118),2)*$AF119</f>
        <v>0</v>
      </c>
      <c r="AF119" s="85">
        <f>PRODUCT(AF116:AF118)</f>
        <v>1</v>
      </c>
      <c r="AG119" s="90">
        <f>COUNTIF(AC116:AC118,"&lt;&gt;0")-COUNTIF(E116:E118,"= в/с строк. служби")</f>
        <v>0</v>
      </c>
      <c r="AH119" s="89"/>
    </row>
    <row r="120" spans="1:58" s="54" customFormat="1" ht="35.25" customHeight="1" thickTop="1" x14ac:dyDescent="0.2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  <c r="AC120" s="381"/>
      <c r="AD120" s="382"/>
      <c r="AE120" s="382"/>
      <c r="AF120" s="70"/>
    </row>
    <row r="121" spans="1:58" s="54" customFormat="1" ht="23.25" x14ac:dyDescent="0.25">
      <c r="A121" s="324">
        <f>$A$50</f>
        <v>0</v>
      </c>
      <c r="B121" s="324"/>
      <c r="C121" s="324"/>
      <c r="D121" s="324"/>
      <c r="E121" s="324"/>
      <c r="F121" s="324"/>
      <c r="G121" s="324"/>
      <c r="H121" s="324"/>
      <c r="I121" s="324"/>
      <c r="J121" s="324"/>
      <c r="K121" s="71"/>
      <c r="L121" s="71"/>
      <c r="M121" s="71"/>
      <c r="N121" s="71"/>
      <c r="O121" s="71"/>
      <c r="T121" s="88"/>
      <c r="AC121" s="72"/>
      <c r="AD121" s="72"/>
      <c r="AE121" s="72"/>
      <c r="AF121" s="70"/>
    </row>
    <row r="122" spans="1:58" s="54" customFormat="1" ht="23.25" x14ac:dyDescent="0.3">
      <c r="A122" s="292">
        <f>$A$51</f>
        <v>0</v>
      </c>
      <c r="B122" s="292"/>
      <c r="C122" s="292"/>
      <c r="D122" s="40"/>
      <c r="E122" s="46"/>
      <c r="F122" s="46"/>
      <c r="G122" s="40"/>
      <c r="H122" s="292">
        <f>$M$51</f>
        <v>0</v>
      </c>
      <c r="I122" s="292"/>
      <c r="J122" s="292"/>
      <c r="K122" s="49"/>
      <c r="L122" s="81"/>
      <c r="M122" s="73"/>
      <c r="N122" s="73"/>
      <c r="O122" s="73"/>
      <c r="T122" s="87"/>
      <c r="AF122" s="70"/>
      <c r="AJ122" s="166"/>
    </row>
    <row r="123" spans="1:58" s="54" customFormat="1" ht="23.25" x14ac:dyDescent="0.2">
      <c r="A123" s="324">
        <f>$A$52</f>
        <v>0</v>
      </c>
      <c r="B123" s="324"/>
      <c r="C123" s="324"/>
      <c r="D123" s="324"/>
      <c r="E123" s="324"/>
      <c r="F123" s="324"/>
      <c r="G123" s="324"/>
      <c r="H123" s="324"/>
      <c r="I123" s="324"/>
      <c r="J123" s="324"/>
      <c r="K123" s="28"/>
      <c r="L123" s="28"/>
      <c r="M123" s="28"/>
      <c r="N123" s="28"/>
      <c r="O123" s="28"/>
      <c r="AF123" s="70"/>
    </row>
    <row r="124" spans="1:58" s="54" customFormat="1" ht="23.25" x14ac:dyDescent="0.2">
      <c r="A124" s="292">
        <f>$A$53</f>
        <v>0</v>
      </c>
      <c r="B124" s="292"/>
      <c r="C124" s="292"/>
      <c r="D124" s="40"/>
      <c r="E124" s="46"/>
      <c r="F124" s="46"/>
      <c r="G124" s="40"/>
      <c r="H124" s="292">
        <f>$M$53</f>
        <v>0</v>
      </c>
      <c r="I124" s="292"/>
      <c r="J124" s="292"/>
      <c r="K124" s="43"/>
      <c r="L124" s="43"/>
      <c r="M124" s="43"/>
      <c r="N124" s="43"/>
      <c r="O124" s="43"/>
      <c r="AF124" s="70"/>
    </row>
    <row r="125" spans="1:58" s="54" customFormat="1" ht="23.25" x14ac:dyDescent="0.2">
      <c r="A125" s="293">
        <f ca="1">TODAY()</f>
        <v>45061</v>
      </c>
      <c r="B125" s="293"/>
      <c r="C125" s="59" t="s">
        <v>7</v>
      </c>
      <c r="D125" s="59"/>
      <c r="E125" s="40"/>
      <c r="F125" s="40"/>
      <c r="G125" s="40"/>
      <c r="H125" s="40"/>
      <c r="I125" s="40"/>
      <c r="J125" s="40"/>
      <c r="K125" s="49"/>
      <c r="L125" s="49"/>
      <c r="M125" s="49"/>
      <c r="N125" s="49"/>
      <c r="O125" s="49"/>
      <c r="AF125" s="70"/>
    </row>
    <row r="126" spans="1:58" s="54" customFormat="1" ht="15.75" x14ac:dyDescent="0.2">
      <c r="A126" s="45"/>
      <c r="B126" s="45"/>
      <c r="C126" s="44"/>
      <c r="D126" s="49"/>
      <c r="E126" s="49"/>
      <c r="F126" s="49"/>
      <c r="G126" s="49"/>
      <c r="H126" s="49"/>
      <c r="I126" s="42"/>
      <c r="J126" s="49"/>
      <c r="K126" s="49"/>
      <c r="L126" s="49"/>
      <c r="M126" s="49"/>
      <c r="N126" s="49"/>
      <c r="O126" s="49"/>
      <c r="AF126" s="70"/>
    </row>
    <row r="127" spans="1:58" x14ac:dyDescent="0.2">
      <c r="A127" s="147"/>
      <c r="B127" s="147"/>
      <c r="C127" s="147"/>
      <c r="D127" s="147"/>
      <c r="E127" s="147"/>
      <c r="F127" s="147"/>
      <c r="G127" s="147"/>
      <c r="H127" s="147"/>
      <c r="I127" s="147"/>
      <c r="J127" s="147"/>
      <c r="K127" s="147"/>
      <c r="L127" s="139"/>
      <c r="M127" s="139"/>
      <c r="N127" s="139"/>
      <c r="O127" s="139"/>
      <c r="P127" s="139"/>
      <c r="Q127" s="139"/>
      <c r="R127" s="139"/>
      <c r="S127" s="139"/>
      <c r="T127" s="139"/>
      <c r="U127" s="139"/>
      <c r="V127" s="139"/>
      <c r="W127" s="139"/>
      <c r="X127" s="139"/>
      <c r="Y127" s="139"/>
      <c r="Z127" s="139"/>
      <c r="AA127" s="139"/>
      <c r="AB127" s="139"/>
      <c r="AC127" s="139"/>
      <c r="AD127" s="139"/>
      <c r="AE127" s="139"/>
    </row>
    <row r="128" spans="1:58" ht="26.25" x14ac:dyDescent="0.2">
      <c r="A128" s="147"/>
      <c r="B128" s="147"/>
      <c r="C128" s="147"/>
      <c r="D128" s="147"/>
      <c r="E128" s="147"/>
      <c r="F128" s="147"/>
      <c r="G128" s="147"/>
      <c r="H128" s="147"/>
      <c r="I128" s="147"/>
      <c r="J128" s="147"/>
      <c r="K128" s="147"/>
      <c r="L128" s="139"/>
      <c r="M128" s="139"/>
      <c r="N128" s="139"/>
      <c r="O128" s="139"/>
      <c r="P128" s="139"/>
      <c r="Q128" s="139"/>
      <c r="R128" s="139"/>
      <c r="S128" s="139"/>
      <c r="T128" s="139"/>
      <c r="U128" s="139"/>
      <c r="V128" s="147"/>
      <c r="W128" s="148"/>
      <c r="X128" s="148"/>
      <c r="Y128" s="148"/>
      <c r="Z128" s="149"/>
      <c r="AA128" s="147"/>
      <c r="AB128" s="147"/>
      <c r="AC128" s="149"/>
      <c r="AD128" s="150" t="s">
        <v>75</v>
      </c>
      <c r="AE128" s="139"/>
    </row>
    <row r="129" spans="1:35" ht="55.5" customHeight="1" x14ac:dyDescent="0.2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39"/>
      <c r="Q129" s="139"/>
      <c r="R129" s="139"/>
      <c r="S129" s="139"/>
      <c r="T129" s="139"/>
      <c r="U129" s="139"/>
      <c r="V129" s="354" t="str">
        <f>V1</f>
        <v>Начальнику забезпечувального фінансового органу
(Відповідальному за бюджетну підпрограму)</v>
      </c>
      <c r="W129" s="354"/>
      <c r="X129" s="354"/>
      <c r="Y129" s="354"/>
      <c r="Z129" s="354"/>
      <c r="AA129" s="354"/>
      <c r="AB129" s="354"/>
      <c r="AC129" s="354"/>
      <c r="AD129" s="354"/>
      <c r="AE129" s="354"/>
    </row>
    <row r="130" spans="1:35" ht="27" x14ac:dyDescent="0.2">
      <c r="A130" s="151"/>
      <c r="B130" s="151"/>
      <c r="C130" s="151"/>
      <c r="D130" s="142"/>
      <c r="E130" s="142"/>
      <c r="F130" s="151"/>
      <c r="G130" s="151"/>
      <c r="H130" s="151"/>
      <c r="I130" s="151"/>
      <c r="J130" s="151"/>
      <c r="K130" s="151"/>
      <c r="L130" s="262"/>
      <c r="M130" s="262"/>
      <c r="N130" s="262"/>
      <c r="O130" s="262"/>
      <c r="P130" s="139"/>
      <c r="Q130" s="139"/>
      <c r="R130" s="139"/>
      <c r="S130" s="139"/>
      <c r="T130" s="139"/>
      <c r="U130" s="139"/>
      <c r="V130" s="152" t="s">
        <v>5</v>
      </c>
      <c r="W130" s="147"/>
      <c r="X130" s="152"/>
      <c r="Y130" s="153"/>
      <c r="Z130" s="153"/>
      <c r="AA130" s="147"/>
      <c r="AB130" s="147"/>
      <c r="AC130" s="365">
        <f>$AB$3</f>
        <v>0</v>
      </c>
      <c r="AD130" s="365"/>
      <c r="AE130" s="365"/>
    </row>
    <row r="131" spans="1:35" ht="15" customHeight="1" x14ac:dyDescent="0.2">
      <c r="A131" s="351"/>
      <c r="B131" s="351"/>
      <c r="C131" s="351"/>
      <c r="D131" s="151"/>
      <c r="E131" s="151"/>
      <c r="F131" s="151"/>
      <c r="G131" s="151"/>
      <c r="H131" s="151"/>
      <c r="I131" s="151"/>
      <c r="J131" s="151"/>
      <c r="K131" s="366"/>
      <c r="L131" s="366"/>
      <c r="M131" s="366"/>
      <c r="N131" s="366"/>
      <c r="O131" s="366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</row>
    <row r="132" spans="1:35" ht="15" customHeight="1" x14ac:dyDescent="0.2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</row>
    <row r="133" spans="1:35" ht="27" customHeight="1" x14ac:dyDescent="0.2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342"/>
      <c r="L133" s="342"/>
      <c r="M133" s="342"/>
      <c r="N133" s="154"/>
      <c r="O133" s="154"/>
      <c r="P133" s="139"/>
      <c r="Q133" s="139"/>
      <c r="R133" s="139"/>
      <c r="S133" s="139"/>
      <c r="T133" s="139"/>
      <c r="U133" s="139"/>
      <c r="V133" s="139"/>
      <c r="W133" s="139"/>
      <c r="X133" s="139"/>
      <c r="Y133" s="139"/>
      <c r="Z133" s="139"/>
      <c r="AA133" s="139"/>
      <c r="AB133" s="139"/>
      <c r="AC133" s="139"/>
      <c r="AD133" s="139"/>
      <c r="AE133" s="139"/>
    </row>
    <row r="134" spans="1:35" ht="18.75" x14ac:dyDescent="0.2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39"/>
      <c r="Q134" s="139"/>
      <c r="R134" s="139"/>
      <c r="S134" s="139"/>
      <c r="T134" s="139"/>
      <c r="U134" s="139"/>
      <c r="V134" s="139"/>
      <c r="W134" s="139"/>
      <c r="X134" s="139"/>
      <c r="Y134" s="139"/>
      <c r="Z134" s="139"/>
      <c r="AA134" s="139"/>
      <c r="AB134" s="139"/>
      <c r="AC134" s="139"/>
      <c r="AD134" s="139"/>
      <c r="AE134" s="139"/>
    </row>
    <row r="135" spans="1:35" ht="42" customHeight="1" x14ac:dyDescent="0.2">
      <c r="A135" s="280" t="s">
        <v>154</v>
      </c>
      <c r="B135" s="280"/>
      <c r="C135" s="280"/>
      <c r="D135" s="280"/>
      <c r="E135" s="280"/>
      <c r="F135" s="280"/>
      <c r="G135" s="280"/>
      <c r="H135" s="280"/>
      <c r="I135" s="280"/>
      <c r="J135" s="280"/>
      <c r="K135" s="280"/>
      <c r="L135" s="280"/>
      <c r="M135" s="280"/>
      <c r="N135" s="280"/>
      <c r="O135" s="280"/>
      <c r="P135" s="280"/>
      <c r="Q135" s="280"/>
      <c r="R135" s="280"/>
      <c r="S135" s="280"/>
      <c r="T135" s="280"/>
      <c r="U135" s="280"/>
      <c r="V135" s="280"/>
      <c r="W135" s="280"/>
      <c r="X135" s="280"/>
      <c r="Y135" s="280"/>
      <c r="Z135" s="280"/>
      <c r="AA135" s="280"/>
      <c r="AB135" s="280"/>
      <c r="AC135" s="280"/>
      <c r="AD135" s="280"/>
      <c r="AE135" s="280"/>
    </row>
    <row r="136" spans="1:35" ht="27" x14ac:dyDescent="0.2">
      <c r="A136" s="352" t="s">
        <v>155</v>
      </c>
      <c r="B136" s="352"/>
      <c r="C136" s="352"/>
      <c r="D136" s="352"/>
      <c r="E136" s="352"/>
      <c r="F136" s="352"/>
      <c r="G136" s="352"/>
      <c r="H136" s="352"/>
      <c r="I136" s="352"/>
      <c r="J136" s="352"/>
      <c r="K136" s="352"/>
      <c r="L136" s="352"/>
      <c r="M136" s="352"/>
      <c r="N136" s="352"/>
      <c r="O136" s="352"/>
      <c r="P136" s="352"/>
      <c r="Q136" s="352"/>
      <c r="R136" s="352"/>
      <c r="S136" s="352"/>
      <c r="T136" s="352"/>
      <c r="U136" s="352"/>
      <c r="V136" s="352"/>
      <c r="W136" s="352"/>
      <c r="X136" s="352"/>
      <c r="Y136" s="352"/>
      <c r="Z136" s="352"/>
      <c r="AA136" s="352"/>
      <c r="AB136" s="352"/>
      <c r="AC136" s="352"/>
      <c r="AD136" s="352"/>
      <c r="AE136" s="352"/>
    </row>
    <row r="137" spans="1:35" ht="27" x14ac:dyDescent="0.2">
      <c r="A137" s="352">
        <f>$H$7</f>
        <v>0</v>
      </c>
      <c r="B137" s="352"/>
      <c r="C137" s="352"/>
      <c r="D137" s="352"/>
      <c r="E137" s="352"/>
      <c r="F137" s="352"/>
      <c r="G137" s="352"/>
      <c r="H137" s="352"/>
      <c r="I137" s="352"/>
      <c r="J137" s="352"/>
      <c r="K137" s="352"/>
      <c r="L137" s="352"/>
      <c r="M137" s="352"/>
      <c r="N137" s="352"/>
      <c r="O137" s="352"/>
      <c r="P137" s="352"/>
      <c r="Q137" s="352"/>
      <c r="R137" s="352"/>
      <c r="S137" s="352"/>
      <c r="T137" s="352"/>
      <c r="U137" s="352"/>
      <c r="V137" s="352"/>
      <c r="W137" s="352"/>
      <c r="X137" s="352"/>
      <c r="Y137" s="352"/>
      <c r="Z137" s="352"/>
      <c r="AA137" s="352"/>
      <c r="AB137" s="352"/>
      <c r="AC137" s="352"/>
      <c r="AD137" s="352"/>
      <c r="AE137" s="352"/>
    </row>
    <row r="138" spans="1:35" ht="28.5" thickBot="1" x14ac:dyDescent="0.25">
      <c r="A138" s="143" t="s">
        <v>6</v>
      </c>
      <c r="B138" s="144"/>
      <c r="C138" s="353">
        <f>$C$9</f>
        <v>0</v>
      </c>
      <c r="D138" s="353"/>
      <c r="E138" s="353"/>
      <c r="F138" s="151"/>
      <c r="G138" s="151"/>
      <c r="H138" s="273">
        <f>H8</f>
        <v>0</v>
      </c>
      <c r="I138" s="273"/>
      <c r="J138" s="273"/>
      <c r="K138" s="273"/>
      <c r="L138" s="273"/>
      <c r="M138" s="273"/>
      <c r="N138" s="273"/>
      <c r="O138" s="273"/>
      <c r="P138" s="273"/>
      <c r="Q138" s="273"/>
      <c r="R138" s="273"/>
      <c r="S138" s="273"/>
      <c r="T138" s="273"/>
      <c r="U138" s="273"/>
      <c r="V138" s="273"/>
      <c r="W138" s="273"/>
      <c r="X138" s="273"/>
      <c r="Y138" s="273"/>
      <c r="Z138" s="139"/>
      <c r="AA138" s="139"/>
      <c r="AB138" s="139"/>
      <c r="AC138" s="139"/>
      <c r="AD138" s="139"/>
      <c r="AE138" s="155" t="s">
        <v>54</v>
      </c>
    </row>
    <row r="139" spans="1:35" ht="15" customHeight="1" thickTop="1" x14ac:dyDescent="0.2">
      <c r="A139" s="432" t="s">
        <v>65</v>
      </c>
      <c r="B139" s="408" t="s">
        <v>66</v>
      </c>
      <c r="C139" s="329"/>
      <c r="D139" s="329"/>
      <c r="E139" s="409"/>
      <c r="F139" s="408" t="s">
        <v>67</v>
      </c>
      <c r="G139" s="329"/>
      <c r="H139" s="409"/>
      <c r="I139" s="408" t="s">
        <v>168</v>
      </c>
      <c r="J139" s="329"/>
      <c r="K139" s="329"/>
      <c r="L139" s="409"/>
      <c r="M139" s="356" t="s">
        <v>149</v>
      </c>
      <c r="N139" s="357"/>
      <c r="O139" s="357"/>
      <c r="P139" s="358"/>
      <c r="Q139" s="356" t="s">
        <v>150</v>
      </c>
      <c r="R139" s="358"/>
      <c r="S139" s="357" t="s">
        <v>151</v>
      </c>
      <c r="T139" s="459"/>
      <c r="U139" s="328" t="s">
        <v>74</v>
      </c>
      <c r="V139" s="329"/>
      <c r="W139" s="329"/>
      <c r="X139" s="329"/>
      <c r="Y139" s="329"/>
      <c r="Z139" s="329"/>
      <c r="AA139" s="329"/>
      <c r="AB139" s="426"/>
      <c r="AC139" s="329" t="s">
        <v>3</v>
      </c>
      <c r="AD139" s="329"/>
      <c r="AE139" s="395"/>
    </row>
    <row r="140" spans="1:35" ht="15.75" customHeight="1" x14ac:dyDescent="0.2">
      <c r="A140" s="433"/>
      <c r="B140" s="410"/>
      <c r="C140" s="331"/>
      <c r="D140" s="331"/>
      <c r="E140" s="411"/>
      <c r="F140" s="410"/>
      <c r="G140" s="331"/>
      <c r="H140" s="411"/>
      <c r="I140" s="410"/>
      <c r="J140" s="331"/>
      <c r="K140" s="331"/>
      <c r="L140" s="411"/>
      <c r="M140" s="359"/>
      <c r="N140" s="360"/>
      <c r="O140" s="360"/>
      <c r="P140" s="361"/>
      <c r="Q140" s="359"/>
      <c r="R140" s="361"/>
      <c r="S140" s="360"/>
      <c r="T140" s="460"/>
      <c r="U140" s="330"/>
      <c r="V140" s="331"/>
      <c r="W140" s="331"/>
      <c r="X140" s="331"/>
      <c r="Y140" s="331"/>
      <c r="Z140" s="331"/>
      <c r="AA140" s="331"/>
      <c r="AB140" s="427"/>
      <c r="AC140" s="331"/>
      <c r="AD140" s="331"/>
      <c r="AE140" s="396"/>
    </row>
    <row r="141" spans="1:35" ht="148.5" customHeight="1" thickBot="1" x14ac:dyDescent="0.25">
      <c r="A141" s="434"/>
      <c r="B141" s="412"/>
      <c r="C141" s="333"/>
      <c r="D141" s="333"/>
      <c r="E141" s="413"/>
      <c r="F141" s="412"/>
      <c r="G141" s="333"/>
      <c r="H141" s="413"/>
      <c r="I141" s="412"/>
      <c r="J141" s="333"/>
      <c r="K141" s="333"/>
      <c r="L141" s="413"/>
      <c r="M141" s="362"/>
      <c r="N141" s="363"/>
      <c r="O141" s="363"/>
      <c r="P141" s="364"/>
      <c r="Q141" s="362"/>
      <c r="R141" s="364"/>
      <c r="S141" s="363"/>
      <c r="T141" s="461"/>
      <c r="U141" s="425" t="s">
        <v>152</v>
      </c>
      <c r="V141" s="401"/>
      <c r="W141" s="401"/>
      <c r="X141" s="401" t="s">
        <v>77</v>
      </c>
      <c r="Y141" s="401"/>
      <c r="Z141" s="401"/>
      <c r="AA141" s="401" t="s">
        <v>73</v>
      </c>
      <c r="AB141" s="431"/>
      <c r="AC141" s="333"/>
      <c r="AD141" s="333"/>
      <c r="AE141" s="397"/>
    </row>
    <row r="142" spans="1:35" ht="35.1" customHeight="1" x14ac:dyDescent="0.2">
      <c r="A142" s="158">
        <v>1</v>
      </c>
      <c r="B142" s="402"/>
      <c r="C142" s="403"/>
      <c r="D142" s="403"/>
      <c r="E142" s="404"/>
      <c r="F142" s="405"/>
      <c r="G142" s="406"/>
      <c r="H142" s="407"/>
      <c r="I142" s="448"/>
      <c r="J142" s="456"/>
      <c r="K142" s="456"/>
      <c r="L142" s="159"/>
      <c r="M142" s="440"/>
      <c r="N142" s="441"/>
      <c r="O142" s="441"/>
      <c r="P142" s="442"/>
      <c r="Q142" s="438"/>
      <c r="R142" s="439"/>
      <c r="S142" s="448"/>
      <c r="T142" s="449"/>
      <c r="U142" s="457"/>
      <c r="V142" s="458"/>
      <c r="W142" s="458"/>
      <c r="X142" s="419"/>
      <c r="Y142" s="420"/>
      <c r="Z142" s="421"/>
      <c r="AA142" s="399">
        <f>IF(S142&gt;0,ROUND(SUM(U142:Z142)*0.18,2)*IF(ISERROR(VLOOKUP(F142,$A$193:$D$239,4,FALSE)),0,VLOOKUP(F142,$A$193:$D$239,4,FALSE)),
ROUND(SUM(U142)*0.18,2)*IF(ISERROR(VLOOKUP(F142,$A$193:$D$239,4,FALSE)),0,VLOOKUP(F142,$A$193:$D$239,4,FALSE)))</f>
        <v>0</v>
      </c>
      <c r="AB142" s="418"/>
      <c r="AC142" s="398">
        <f>IF(S142&gt;0,ROUND(SUM(U142:AB142),2)*IF(ISERROR(VLOOKUP(F142,$A$193:$D$239,4,FALSE)),0,VLOOKUP(F142,$A$193:$D$239,4,FALSE)),
ROUND(SUM(U142,AA142),2)*IF(ISERROR(VLOOKUP(F142,$A$193:$D$239,4,FALSE)),0,VLOOKUP(F142,$A$193:$D$239,4,FALSE)))*IF(L142="",0,1)</f>
        <v>0</v>
      </c>
      <c r="AD142" s="399"/>
      <c r="AE142" s="400"/>
      <c r="AF142" s="85">
        <f>IF(OR(L142="",ISERROR(VLOOKUP(F142,$A$193:$E$239,5,FALSE))),0,(VLOOKUP(F142,$A$193:$E$239,5,FALSE)))</f>
        <v>0</v>
      </c>
      <c r="AG142" s="86">
        <f>IF(ISERROR(IF(F142&lt;&gt;0,U142/U142,0)),0,(IF(F142&lt;&gt;0,U142/U142,0)))</f>
        <v>0</v>
      </c>
      <c r="AH142" s="86">
        <f>IF(ISERROR(IF(AND(S142&gt;0,F142&lt;&gt;"",X142&gt;0),S142,0)),0,IF(AND(S142&gt;0,F142&lt;&gt;"",X142&gt;0),S142,0))</f>
        <v>0</v>
      </c>
      <c r="AI142" s="86" t="b">
        <f>NOT(($AC142-$AA142)=($U142+$X142))</f>
        <v>0</v>
      </c>
    </row>
    <row r="143" spans="1:35" ht="35.1" customHeight="1" x14ac:dyDescent="0.2">
      <c r="A143" s="158">
        <v>2</v>
      </c>
      <c r="B143" s="443"/>
      <c r="C143" s="444"/>
      <c r="D143" s="444"/>
      <c r="E143" s="445"/>
      <c r="F143" s="435"/>
      <c r="G143" s="436"/>
      <c r="H143" s="437"/>
      <c r="I143" s="443"/>
      <c r="J143" s="444"/>
      <c r="K143" s="444"/>
      <c r="L143" s="160"/>
      <c r="M143" s="453"/>
      <c r="N143" s="454"/>
      <c r="O143" s="454"/>
      <c r="P143" s="455"/>
      <c r="Q143" s="451"/>
      <c r="R143" s="452"/>
      <c r="S143" s="402"/>
      <c r="T143" s="450"/>
      <c r="U143" s="446"/>
      <c r="V143" s="447"/>
      <c r="W143" s="447"/>
      <c r="X143" s="422"/>
      <c r="Y143" s="423"/>
      <c r="Z143" s="424"/>
      <c r="AA143" s="429">
        <f>IF(S143&gt;0,ROUND(SUM(U143:Z143)*0.18,2)*IF(ISERROR(VLOOKUP(F143,$A$193:$D$239,4,FALSE)),0,VLOOKUP(F143,$A$193:$D$239,4,FALSE)),
ROUND(SUM(U143)*0.18,2)*IF(ISERROR(VLOOKUP(F143,$A$193:$D$239,4,FALSE)),0,VLOOKUP(F143,$A$193:$D$239,4,FALSE)))</f>
        <v>0</v>
      </c>
      <c r="AB143" s="462"/>
      <c r="AC143" s="428">
        <f>IF(S143&gt;0,ROUND(SUM(U143:AB143),2)*IF(ISERROR(VLOOKUP(F143,$A$193:$D$239,4,FALSE)),0,VLOOKUP(F143,$A$193:$D$239,4,FALSE)),
ROUND(SUM(U143,AA143),2)*IF(ISERROR(VLOOKUP(F143,$A$193:$D$239,4,FALSE)),0,VLOOKUP(F143,$A$193:$D$239,4,FALSE)))*IF(L143="",0,1)</f>
        <v>0</v>
      </c>
      <c r="AD143" s="429"/>
      <c r="AE143" s="430"/>
      <c r="AF143" s="85">
        <f>IF(OR(L143="",ISERROR(VLOOKUP(F143,$A$193:$E$239,5,FALSE))),0,(VLOOKUP(F143,$A$193:$E$239,5,FALSE)))</f>
        <v>0</v>
      </c>
      <c r="AG143" s="86">
        <f>IF(ISERROR(IF(F143&lt;&gt;0,U143/U143,0)),0,(IF(F143&lt;&gt;0,U143/U143,0)))</f>
        <v>0</v>
      </c>
      <c r="AH143" s="86">
        <f>IF(ISERROR(IF(AND(S143&gt;0,F143&lt;&gt;"",X143&gt;0),S143,0)),0,IF(AND(S143&gt;0,F143&lt;&gt;"",X143&gt;0),S143,0))</f>
        <v>0</v>
      </c>
      <c r="AI143" s="86" t="b">
        <f>NOT(($AC143-$AA143)=($U143+$X143))</f>
        <v>0</v>
      </c>
    </row>
    <row r="144" spans="1:35" ht="35.1" customHeight="1" x14ac:dyDescent="0.2">
      <c r="A144" s="156">
        <v>3</v>
      </c>
      <c r="B144" s="443"/>
      <c r="C144" s="444"/>
      <c r="D144" s="444"/>
      <c r="E144" s="445"/>
      <c r="F144" s="435"/>
      <c r="G144" s="436"/>
      <c r="H144" s="437"/>
      <c r="I144" s="443"/>
      <c r="J144" s="444"/>
      <c r="K144" s="444"/>
      <c r="L144" s="160"/>
      <c r="M144" s="453"/>
      <c r="N144" s="454"/>
      <c r="O144" s="454"/>
      <c r="P144" s="455"/>
      <c r="Q144" s="451"/>
      <c r="R144" s="452"/>
      <c r="S144" s="443"/>
      <c r="T144" s="841"/>
      <c r="U144" s="446"/>
      <c r="V144" s="447"/>
      <c r="W144" s="447"/>
      <c r="X144" s="422"/>
      <c r="Y144" s="423"/>
      <c r="Z144" s="424"/>
      <c r="AA144" s="429">
        <f>IF(S144&gt;0,ROUND(SUM(U144:Z144)*0.18,2)*IF(ISERROR(VLOOKUP(F144,$A$193:$D$239,4,FALSE)),0,VLOOKUP(F144,$A$193:$D$239,4,FALSE)),
ROUND(SUM(U144)*0.18,2)*IF(ISERROR(VLOOKUP(F144,$A$193:$D$239,4,FALSE)),0,VLOOKUP(F144,$A$193:$D$239,4,FALSE)))</f>
        <v>0</v>
      </c>
      <c r="AB144" s="462"/>
      <c r="AC144" s="428">
        <f>IF(S144&gt;0,ROUND(SUM(U144:AB144),2)*IF(ISERROR(VLOOKUP(F144,$A$193:$D$239,4,FALSE)),0,VLOOKUP(F144,$A$193:$D$239,4,FALSE)),
ROUND(SUM(U144,AA144),2)*IF(ISERROR(VLOOKUP(F144,$A$193:$D$239,4,FALSE)),0,VLOOKUP(F144,$A$193:$D$239,4,FALSE)))*IF(L144="",0,1)</f>
        <v>0</v>
      </c>
      <c r="AD144" s="429"/>
      <c r="AE144" s="430"/>
      <c r="AF144" s="85">
        <f>IF(OR(L144="",ISERROR(VLOOKUP(F144,$A$193:$E$239,5,FALSE))),0,(VLOOKUP(F144,$A$193:$E$239,5,FALSE)))</f>
        <v>0</v>
      </c>
      <c r="AG144" s="86">
        <f>IF(ISERROR(IF(F144&lt;&gt;0,U144/U144,0)),0,(IF(F144&lt;&gt;0,U144/U144,0)))</f>
        <v>0</v>
      </c>
      <c r="AH144" s="86">
        <f>IF(ISERROR(IF(AND(S144&gt;0,F144&lt;&gt;"",X144&gt;0),S144,0)),0,IF(AND(S144&gt;0,F144&lt;&gt;"",X144&gt;0),S144,0))</f>
        <v>0</v>
      </c>
      <c r="AI144" s="86" t="b">
        <f>NOT(($AC144-$AA144)=($U144+$X144))</f>
        <v>0</v>
      </c>
    </row>
    <row r="145" spans="1:32" s="40" customFormat="1" ht="24" thickBot="1" x14ac:dyDescent="0.25">
      <c r="A145" s="463" t="s">
        <v>3</v>
      </c>
      <c r="B145" s="464"/>
      <c r="C145" s="464"/>
      <c r="D145" s="464"/>
      <c r="E145" s="464"/>
      <c r="F145" s="464"/>
      <c r="G145" s="464"/>
      <c r="H145" s="464"/>
      <c r="I145" s="464"/>
      <c r="J145" s="464"/>
      <c r="K145" s="464"/>
      <c r="L145" s="464"/>
      <c r="M145" s="464"/>
      <c r="N145" s="464"/>
      <c r="O145" s="464"/>
      <c r="P145" s="464"/>
      <c r="Q145" s="464"/>
      <c r="R145" s="464"/>
      <c r="S145" s="464"/>
      <c r="T145" s="465"/>
      <c r="U145" s="466">
        <f>ROUND(SUM(U142:W144),2)</f>
        <v>0</v>
      </c>
      <c r="V145" s="467"/>
      <c r="W145" s="467"/>
      <c r="X145" s="467">
        <f>ROUND(SUM(X142:Z144),2)</f>
        <v>0</v>
      </c>
      <c r="Y145" s="467"/>
      <c r="Z145" s="467"/>
      <c r="AA145" s="467">
        <f>ROUND(SUM(AA142:AB144),2)</f>
        <v>0</v>
      </c>
      <c r="AB145" s="468"/>
      <c r="AC145" s="469">
        <f>ROUND(SUM(AC142:AE144),2)</f>
        <v>0</v>
      </c>
      <c r="AD145" s="467"/>
      <c r="AE145" s="470"/>
      <c r="AF145" s="66"/>
    </row>
    <row r="146" spans="1:32" s="54" customFormat="1" ht="36.75" customHeight="1" thickTop="1" x14ac:dyDescent="0.2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  <c r="AC146" s="381"/>
      <c r="AD146" s="382"/>
      <c r="AE146" s="382"/>
      <c r="AF146" s="70"/>
    </row>
    <row r="147" spans="1:32" s="54" customFormat="1" ht="23.25" x14ac:dyDescent="0.25">
      <c r="A147" s="324">
        <f>$A$50</f>
        <v>0</v>
      </c>
      <c r="B147" s="324"/>
      <c r="C147" s="324"/>
      <c r="D147" s="324"/>
      <c r="E147" s="324"/>
      <c r="F147" s="324"/>
      <c r="G147" s="324"/>
      <c r="H147" s="324"/>
      <c r="I147" s="324"/>
      <c r="J147" s="324"/>
      <c r="K147" s="71"/>
      <c r="L147" s="71"/>
      <c r="M147" s="71"/>
      <c r="N147" s="71"/>
      <c r="O147" s="71"/>
      <c r="AC147" s="72"/>
      <c r="AD147" s="72"/>
      <c r="AE147" s="72"/>
      <c r="AF147" s="70"/>
    </row>
    <row r="148" spans="1:32" s="54" customFormat="1" ht="23.25" x14ac:dyDescent="0.2">
      <c r="A148" s="292">
        <f>$A$51</f>
        <v>0</v>
      </c>
      <c r="B148" s="292"/>
      <c r="C148" s="292"/>
      <c r="D148" s="40"/>
      <c r="E148" s="46"/>
      <c r="F148" s="46"/>
      <c r="G148" s="40"/>
      <c r="H148" s="292">
        <f>$M$51</f>
        <v>0</v>
      </c>
      <c r="I148" s="292"/>
      <c r="J148" s="292"/>
      <c r="K148" s="49"/>
      <c r="L148" s="49"/>
      <c r="M148" s="73"/>
      <c r="N148" s="73"/>
      <c r="O148" s="73"/>
      <c r="AF148" s="70"/>
    </row>
    <row r="149" spans="1:32" s="54" customFormat="1" ht="23.25" x14ac:dyDescent="0.2">
      <c r="A149" s="324">
        <f>$A$52</f>
        <v>0</v>
      </c>
      <c r="B149" s="324"/>
      <c r="C149" s="324"/>
      <c r="D149" s="324"/>
      <c r="E149" s="324"/>
      <c r="F149" s="324"/>
      <c r="G149" s="324"/>
      <c r="H149" s="324"/>
      <c r="I149" s="324"/>
      <c r="J149" s="324"/>
      <c r="K149" s="28"/>
      <c r="L149" s="28"/>
      <c r="M149" s="28"/>
      <c r="N149" s="28"/>
      <c r="O149" s="28"/>
      <c r="AF149" s="70"/>
    </row>
    <row r="150" spans="1:32" s="54" customFormat="1" ht="23.25" x14ac:dyDescent="0.2">
      <c r="A150" s="292">
        <f>$A$53</f>
        <v>0</v>
      </c>
      <c r="B150" s="292"/>
      <c r="C150" s="292"/>
      <c r="D150" s="40"/>
      <c r="E150" s="46"/>
      <c r="F150" s="46"/>
      <c r="G150" s="40"/>
      <c r="H150" s="292">
        <f>$M$53</f>
        <v>0</v>
      </c>
      <c r="I150" s="292"/>
      <c r="J150" s="292"/>
      <c r="K150" s="43"/>
      <c r="L150" s="43"/>
      <c r="M150" s="43"/>
      <c r="N150" s="43"/>
      <c r="O150" s="43"/>
      <c r="AF150" s="70"/>
    </row>
    <row r="151" spans="1:32" s="54" customFormat="1" ht="23.25" x14ac:dyDescent="0.2">
      <c r="A151" s="293">
        <f ca="1">TODAY()</f>
        <v>45061</v>
      </c>
      <c r="B151" s="293"/>
      <c r="C151" s="59" t="s">
        <v>7</v>
      </c>
      <c r="D151" s="59"/>
      <c r="E151" s="40"/>
      <c r="F151" s="40"/>
      <c r="G151" s="40"/>
      <c r="H151" s="40"/>
      <c r="I151" s="40"/>
      <c r="J151" s="40"/>
      <c r="K151" s="49"/>
      <c r="L151" s="49"/>
      <c r="M151" s="49"/>
      <c r="N151" s="49"/>
      <c r="O151" s="49"/>
      <c r="AF151" s="70"/>
    </row>
    <row r="152" spans="1:32" ht="15.75" customHeight="1" x14ac:dyDescent="0.2">
      <c r="A152" s="32"/>
      <c r="B152" s="32"/>
      <c r="C152" s="32"/>
      <c r="D152" s="32"/>
      <c r="E152" s="32"/>
      <c r="F152" s="32"/>
      <c r="G152" s="32"/>
      <c r="H152" s="32"/>
      <c r="I152" s="32"/>
      <c r="J152" s="32"/>
      <c r="K152" s="32"/>
    </row>
    <row r="155" spans="1:32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1:32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1:32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spans="1:32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1:32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spans="1:32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1:17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spans="1:17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1:17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1:17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  <row r="165" spans="1:17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</row>
    <row r="166" spans="1:17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</row>
    <row r="167" spans="1:17" ht="15.75" customHeight="1" x14ac:dyDescent="0.2">
      <c r="A167" s="172"/>
      <c r="B167" s="172"/>
      <c r="C167" s="172"/>
      <c r="D167" s="172"/>
      <c r="E167" s="172"/>
      <c r="F167" s="172"/>
      <c r="G167" s="172"/>
      <c r="H167" s="172"/>
      <c r="I167" s="172"/>
      <c r="J167" s="172"/>
      <c r="K167" s="172"/>
      <c r="L167" s="172"/>
      <c r="M167" s="2"/>
      <c r="N167" s="2"/>
      <c r="O167" s="172"/>
      <c r="P167" s="2"/>
      <c r="Q167" s="2"/>
    </row>
    <row r="168" spans="1:17" x14ac:dyDescent="0.2">
      <c r="A168" s="172"/>
      <c r="B168" s="172"/>
      <c r="C168" s="172"/>
      <c r="D168" s="172"/>
      <c r="E168" s="172"/>
      <c r="F168" s="172"/>
      <c r="G168" s="172"/>
      <c r="H168" s="172"/>
      <c r="I168" s="172"/>
      <c r="J168" s="172"/>
      <c r="K168" s="172"/>
      <c r="L168" s="172"/>
      <c r="M168" s="2"/>
      <c r="N168" s="2"/>
      <c r="O168" s="172"/>
      <c r="P168" s="2"/>
      <c r="Q168" s="2"/>
    </row>
    <row r="169" spans="1:17" x14ac:dyDescent="0.2">
      <c r="A169" s="172" t="s">
        <v>101</v>
      </c>
      <c r="B169" s="172"/>
      <c r="C169" s="172"/>
      <c r="D169" s="172"/>
      <c r="E169" s="172"/>
      <c r="F169" s="172"/>
      <c r="G169" s="172"/>
      <c r="H169" s="172" t="s">
        <v>219</v>
      </c>
      <c r="I169" s="172"/>
      <c r="J169" s="172"/>
      <c r="K169" s="172"/>
      <c r="L169" s="172"/>
      <c r="M169" s="2"/>
      <c r="N169" s="2"/>
      <c r="O169" s="172"/>
      <c r="P169" s="2"/>
      <c r="Q169" s="2"/>
    </row>
    <row r="170" spans="1:17" x14ac:dyDescent="0.2">
      <c r="A170" s="172" t="s">
        <v>102</v>
      </c>
      <c r="B170" s="172"/>
      <c r="C170" s="172"/>
      <c r="D170" s="172"/>
      <c r="E170" s="172"/>
      <c r="F170" s="172"/>
      <c r="G170" s="172"/>
      <c r="H170" s="172" t="s">
        <v>220</v>
      </c>
      <c r="I170" s="172"/>
      <c r="J170" s="172"/>
      <c r="K170" s="172"/>
      <c r="L170" s="172"/>
      <c r="M170" s="2"/>
      <c r="N170" s="2"/>
      <c r="O170" s="172"/>
      <c r="P170" s="2"/>
      <c r="Q170" s="2"/>
    </row>
    <row r="171" spans="1:17" x14ac:dyDescent="0.2">
      <c r="A171" s="172" t="s">
        <v>103</v>
      </c>
      <c r="B171" s="172"/>
      <c r="C171" s="172"/>
      <c r="D171" s="172"/>
      <c r="E171" s="172"/>
      <c r="F171" s="172"/>
      <c r="G171" s="172"/>
      <c r="H171" s="172" t="s">
        <v>222</v>
      </c>
      <c r="I171" s="172"/>
      <c r="J171" s="172"/>
      <c r="K171" s="172"/>
      <c r="L171" s="172"/>
      <c r="M171" s="2"/>
      <c r="N171" s="2"/>
      <c r="O171" s="172"/>
      <c r="P171" s="2"/>
      <c r="Q171" s="2"/>
    </row>
    <row r="172" spans="1:17" x14ac:dyDescent="0.2">
      <c r="A172" s="172"/>
      <c r="B172" s="172"/>
      <c r="C172" s="172"/>
      <c r="D172" s="172"/>
      <c r="E172" s="172"/>
      <c r="F172" s="172"/>
      <c r="G172" s="172"/>
      <c r="H172" s="172" t="s">
        <v>221</v>
      </c>
      <c r="I172" s="172"/>
      <c r="J172" s="172"/>
      <c r="K172" s="172"/>
      <c r="L172" s="172"/>
      <c r="M172" s="2"/>
      <c r="N172" s="2"/>
      <c r="O172" s="172"/>
      <c r="P172" s="2"/>
      <c r="Q172" s="2"/>
    </row>
    <row r="173" spans="1:17" x14ac:dyDescent="0.2">
      <c r="A173" s="172" t="str">
        <f ca="1">"на січень "&amp;YEAR(TODAY())&amp;" року"</f>
        <v>на січень 2023 року</v>
      </c>
      <c r="B173" s="172"/>
      <c r="C173" s="172"/>
      <c r="D173" s="172"/>
      <c r="E173" s="172" t="s">
        <v>213</v>
      </c>
      <c r="F173" s="172"/>
      <c r="G173" s="172"/>
      <c r="H173" s="172" t="s">
        <v>224</v>
      </c>
      <c r="I173" s="172"/>
      <c r="J173" s="172"/>
      <c r="K173" s="172"/>
      <c r="L173" s="172"/>
      <c r="M173" s="2"/>
      <c r="N173" s="2"/>
      <c r="O173" s="172"/>
      <c r="P173" s="2"/>
      <c r="Q173" s="2"/>
    </row>
    <row r="174" spans="1:17" x14ac:dyDescent="0.2">
      <c r="A174" s="172" t="str">
        <f ca="1">"на лютий "&amp;YEAR(TODAY())&amp;" року"</f>
        <v>на лютий 2023 року</v>
      </c>
      <c r="B174" s="172"/>
      <c r="C174" s="172"/>
      <c r="D174" s="172"/>
      <c r="E174" s="172" t="s">
        <v>214</v>
      </c>
      <c r="F174" s="172"/>
      <c r="G174" s="172"/>
      <c r="H174" s="172" t="s">
        <v>225</v>
      </c>
      <c r="I174" s="172"/>
      <c r="J174" s="172"/>
      <c r="K174" s="172"/>
      <c r="L174" s="172"/>
      <c r="M174" s="2"/>
      <c r="N174" s="2"/>
      <c r="O174" s="172"/>
      <c r="P174" s="2"/>
      <c r="Q174" s="2"/>
    </row>
    <row r="175" spans="1:17" x14ac:dyDescent="0.2">
      <c r="A175" s="172" t="str">
        <f ca="1">"на березень "&amp;YEAR(TODAY())&amp;" року"</f>
        <v>на березень 2023 року</v>
      </c>
      <c r="B175" s="172"/>
      <c r="C175" s="172"/>
      <c r="D175" s="172"/>
      <c r="E175" s="172" t="s">
        <v>215</v>
      </c>
      <c r="F175" s="172"/>
      <c r="G175" s="172"/>
      <c r="H175" s="172" t="s">
        <v>226</v>
      </c>
      <c r="I175" s="172"/>
      <c r="J175" s="172"/>
      <c r="K175" s="172"/>
      <c r="L175" s="172"/>
      <c r="M175" s="2"/>
      <c r="N175" s="2"/>
      <c r="O175" s="172"/>
      <c r="P175" s="2"/>
      <c r="Q175" s="2"/>
    </row>
    <row r="176" spans="1:17" x14ac:dyDescent="0.2">
      <c r="A176" s="172" t="str">
        <f ca="1">"на квітень "&amp;YEAR(TODAY())&amp;" року"</f>
        <v>на квітень 2023 року</v>
      </c>
      <c r="B176" s="172"/>
      <c r="C176" s="172"/>
      <c r="D176" s="172"/>
      <c r="E176" s="172" t="s">
        <v>216</v>
      </c>
      <c r="F176" s="172"/>
      <c r="G176" s="172"/>
      <c r="H176" s="172" t="s">
        <v>227</v>
      </c>
      <c r="I176" s="172"/>
      <c r="J176" s="172"/>
      <c r="K176" s="172"/>
      <c r="L176" s="172"/>
      <c r="M176" s="2"/>
      <c r="N176" s="2"/>
      <c r="O176" s="172"/>
      <c r="P176" s="2"/>
      <c r="Q176" s="2"/>
    </row>
    <row r="177" spans="1:17" x14ac:dyDescent="0.2">
      <c r="A177" s="172" t="str">
        <f ca="1">"на травень "&amp;YEAR(TODAY())&amp;" року"</f>
        <v>на травень 2023 року</v>
      </c>
      <c r="B177" s="172"/>
      <c r="C177" s="172"/>
      <c r="D177" s="172"/>
      <c r="E177" s="172" t="s">
        <v>218</v>
      </c>
      <c r="F177" s="172"/>
      <c r="G177" s="172"/>
      <c r="H177" s="172" t="s">
        <v>228</v>
      </c>
      <c r="I177" s="172"/>
      <c r="J177" s="172"/>
      <c r="K177" s="172"/>
      <c r="L177" s="172"/>
      <c r="M177" s="2"/>
      <c r="N177" s="2"/>
      <c r="O177" s="172"/>
      <c r="P177" s="2"/>
      <c r="Q177" s="2"/>
    </row>
    <row r="178" spans="1:17" x14ac:dyDescent="0.2">
      <c r="A178" s="172" t="str">
        <f ca="1">"на червень "&amp;YEAR(TODAY())&amp;" року"</f>
        <v>на червень 2023 року</v>
      </c>
      <c r="B178" s="172"/>
      <c r="C178" s="172"/>
      <c r="D178" s="172"/>
      <c r="E178" s="172" t="s">
        <v>217</v>
      </c>
      <c r="F178" s="172"/>
      <c r="G178" s="172"/>
      <c r="H178" s="172" t="s">
        <v>229</v>
      </c>
      <c r="I178" s="172"/>
      <c r="J178" s="172"/>
      <c r="K178" s="172"/>
      <c r="L178" s="172"/>
      <c r="M178" s="2"/>
      <c r="N178" s="2"/>
      <c r="O178" s="172"/>
      <c r="P178" s="2"/>
      <c r="Q178" s="2"/>
    </row>
    <row r="179" spans="1:17" x14ac:dyDescent="0.2">
      <c r="A179" s="172" t="str">
        <f ca="1">"на липень "&amp;YEAR(TODAY())&amp;" року"</f>
        <v>на липень 2023 року</v>
      </c>
      <c r="B179" s="172"/>
      <c r="C179" s="172"/>
      <c r="D179" s="172"/>
      <c r="E179" s="172"/>
      <c r="F179" s="172"/>
      <c r="G179" s="172"/>
      <c r="H179" s="172" t="s">
        <v>256</v>
      </c>
      <c r="I179" s="172"/>
      <c r="J179" s="172"/>
      <c r="K179" s="172"/>
      <c r="L179" s="172"/>
      <c r="M179" s="2"/>
      <c r="N179" s="2"/>
      <c r="O179" s="172"/>
      <c r="P179" s="2"/>
      <c r="Q179" s="2"/>
    </row>
    <row r="180" spans="1:17" x14ac:dyDescent="0.2">
      <c r="A180" s="172" t="str">
        <f ca="1">"на серпень "&amp;YEAR(TODAY())&amp;" року"</f>
        <v>на серпень 2023 року</v>
      </c>
      <c r="B180" s="172"/>
      <c r="C180" s="172"/>
      <c r="D180" s="172"/>
      <c r="E180" s="172"/>
      <c r="F180" s="172"/>
      <c r="G180" s="172"/>
      <c r="H180" s="172" t="s">
        <v>230</v>
      </c>
      <c r="I180" s="172"/>
      <c r="J180" s="172"/>
      <c r="K180" s="172"/>
      <c r="L180" s="172"/>
      <c r="M180" s="2"/>
      <c r="N180" s="2"/>
      <c r="O180" s="172"/>
      <c r="P180" s="2"/>
      <c r="Q180" s="2"/>
    </row>
    <row r="181" spans="1:17" x14ac:dyDescent="0.2">
      <c r="A181" s="172" t="str">
        <f ca="1">"на вересень "&amp;YEAR(TODAY())&amp;" року"</f>
        <v>на вересень 2023 року</v>
      </c>
      <c r="B181" s="172"/>
      <c r="C181" s="172"/>
      <c r="D181" s="172"/>
      <c r="E181" s="172"/>
      <c r="F181" s="172"/>
      <c r="G181" s="172"/>
      <c r="H181" s="172" t="s">
        <v>231</v>
      </c>
      <c r="I181" s="172"/>
      <c r="J181" s="172"/>
      <c r="K181" s="172"/>
      <c r="L181" s="172"/>
      <c r="M181" s="2"/>
      <c r="N181" s="2"/>
      <c r="O181" s="172"/>
      <c r="P181" s="2"/>
      <c r="Q181" s="2"/>
    </row>
    <row r="182" spans="1:17" x14ac:dyDescent="0.2">
      <c r="A182" s="172" t="str">
        <f ca="1">"на жовтень "&amp;YEAR(TODAY())&amp;" року"</f>
        <v>на жовтень 2023 року</v>
      </c>
      <c r="B182" s="172"/>
      <c r="C182" s="172"/>
      <c r="D182" s="172"/>
      <c r="E182" s="172"/>
      <c r="F182" s="172"/>
      <c r="G182" s="172"/>
      <c r="H182" s="172" t="s">
        <v>232</v>
      </c>
      <c r="I182" s="172"/>
      <c r="J182" s="172"/>
      <c r="K182" s="172"/>
      <c r="L182" s="172"/>
      <c r="M182" s="2"/>
      <c r="N182" s="2"/>
      <c r="O182" s="172"/>
      <c r="P182" s="2"/>
      <c r="Q182" s="2"/>
    </row>
    <row r="183" spans="1:17" x14ac:dyDescent="0.2">
      <c r="A183" s="172" t="str">
        <f ca="1">"на листопад "&amp;YEAR(TODAY())&amp;" року"</f>
        <v>на листопад 2023 року</v>
      </c>
      <c r="B183" s="172"/>
      <c r="C183" s="172"/>
      <c r="D183" s="172"/>
      <c r="E183" s="172"/>
      <c r="F183" s="172"/>
      <c r="G183" s="172"/>
      <c r="H183" s="172" t="s">
        <v>233</v>
      </c>
      <c r="I183" s="172"/>
      <c r="J183" s="172"/>
      <c r="K183" s="172"/>
      <c r="L183" s="172"/>
      <c r="M183" s="2"/>
      <c r="N183" s="2"/>
      <c r="O183" s="172"/>
      <c r="P183" s="2"/>
      <c r="Q183" s="2"/>
    </row>
    <row r="184" spans="1:17" x14ac:dyDescent="0.2">
      <c r="A184" s="172" t="str">
        <f ca="1">"на грудень "&amp;YEAR(TODAY())&amp;" року"</f>
        <v>на грудень 2023 року</v>
      </c>
      <c r="B184" s="172"/>
      <c r="C184" s="172"/>
      <c r="D184" s="172"/>
      <c r="E184" s="172"/>
      <c r="F184" s="172"/>
      <c r="G184" s="172"/>
      <c r="H184" s="172" t="s">
        <v>223</v>
      </c>
      <c r="I184" s="172"/>
      <c r="J184" s="172"/>
      <c r="K184" s="172"/>
      <c r="L184" s="172"/>
      <c r="M184" s="2"/>
      <c r="N184" s="2"/>
      <c r="O184" s="172"/>
      <c r="P184" s="2"/>
      <c r="Q184" s="2"/>
    </row>
    <row r="185" spans="1:17" x14ac:dyDescent="0.2">
      <c r="A185" s="172"/>
      <c r="B185" s="172"/>
      <c r="C185" s="172"/>
      <c r="D185" s="172"/>
      <c r="E185" s="172"/>
      <c r="F185" s="172"/>
      <c r="G185" s="172"/>
      <c r="H185" s="172" t="s">
        <v>234</v>
      </c>
      <c r="I185" s="172"/>
      <c r="J185" s="172"/>
      <c r="K185" s="172"/>
      <c r="L185" s="172"/>
      <c r="M185" s="2"/>
      <c r="N185" s="2"/>
      <c r="O185" s="172"/>
      <c r="P185" s="2"/>
      <c r="Q185" s="2"/>
    </row>
    <row r="186" spans="1:17" x14ac:dyDescent="0.2">
      <c r="A186" s="172"/>
      <c r="B186" s="172"/>
      <c r="C186" s="172"/>
      <c r="D186" s="172"/>
      <c r="E186" s="172"/>
      <c r="F186" s="172"/>
      <c r="G186" s="172"/>
      <c r="H186" s="172"/>
      <c r="I186" s="172"/>
      <c r="J186" s="172"/>
      <c r="K186" s="172"/>
      <c r="L186" s="172"/>
      <c r="M186" s="2"/>
      <c r="N186" s="2"/>
      <c r="O186" s="172"/>
      <c r="P186" s="2"/>
      <c r="Q186" s="2"/>
    </row>
    <row r="187" spans="1:17" x14ac:dyDescent="0.2">
      <c r="A187" s="173">
        <v>2101010</v>
      </c>
      <c r="B187" s="172"/>
      <c r="C187" s="172"/>
      <c r="D187" s="172"/>
      <c r="E187" s="172"/>
      <c r="F187" s="172"/>
      <c r="G187" s="172"/>
      <c r="H187" s="172"/>
      <c r="I187" s="172"/>
      <c r="J187" s="172"/>
      <c r="K187" s="172"/>
      <c r="L187" s="172"/>
      <c r="M187" s="2"/>
      <c r="N187" s="2"/>
      <c r="O187" s="172"/>
      <c r="P187" s="2"/>
      <c r="Q187" s="2"/>
    </row>
    <row r="188" spans="1:17" x14ac:dyDescent="0.2">
      <c r="A188" s="173" t="s">
        <v>169</v>
      </c>
      <c r="B188" s="172"/>
      <c r="C188" s="172"/>
      <c r="D188" s="172"/>
      <c r="E188" s="172"/>
      <c r="F188" s="172"/>
      <c r="G188" s="172"/>
      <c r="H188" s="172"/>
      <c r="I188" s="172"/>
      <c r="J188" s="172"/>
      <c r="K188" s="172"/>
      <c r="L188" s="172"/>
      <c r="M188" s="2"/>
      <c r="N188" s="2"/>
      <c r="O188" s="172"/>
      <c r="P188" s="2"/>
      <c r="Q188" s="2"/>
    </row>
    <row r="189" spans="1:17" x14ac:dyDescent="0.2">
      <c r="A189" s="173" t="s">
        <v>170</v>
      </c>
      <c r="B189" s="172"/>
      <c r="C189" s="172"/>
      <c r="D189" s="172"/>
      <c r="E189" s="172"/>
      <c r="F189" s="172"/>
      <c r="G189" s="172"/>
      <c r="H189" s="172"/>
      <c r="I189" s="172"/>
      <c r="J189" s="172"/>
      <c r="K189" s="172"/>
      <c r="L189" s="172"/>
      <c r="M189" s="2"/>
      <c r="N189" s="2"/>
      <c r="O189" s="172"/>
      <c r="P189" s="2"/>
      <c r="Q189" s="2"/>
    </row>
    <row r="190" spans="1:17" x14ac:dyDescent="0.2">
      <c r="A190" s="173" t="s">
        <v>171</v>
      </c>
      <c r="B190" s="172"/>
      <c r="C190" s="172"/>
      <c r="D190" s="172"/>
      <c r="E190" s="172"/>
      <c r="F190" s="172"/>
      <c r="G190" s="172"/>
      <c r="H190" s="172"/>
      <c r="I190" s="172"/>
      <c r="J190" s="172"/>
      <c r="K190" s="172"/>
      <c r="L190" s="172"/>
      <c r="M190" s="2"/>
      <c r="N190" s="2"/>
      <c r="O190" s="172"/>
      <c r="P190" s="2"/>
      <c r="Q190" s="2"/>
    </row>
    <row r="191" spans="1:17" x14ac:dyDescent="0.2">
      <c r="A191" s="173">
        <v>2105010</v>
      </c>
      <c r="B191" s="172"/>
      <c r="C191" s="172"/>
      <c r="D191" s="172"/>
      <c r="E191" s="172"/>
      <c r="F191" s="172"/>
      <c r="G191" s="172"/>
      <c r="H191" s="172"/>
      <c r="I191" s="172"/>
      <c r="J191" s="172"/>
      <c r="K191" s="172"/>
      <c r="L191" s="172"/>
      <c r="M191" s="2"/>
      <c r="N191" s="2"/>
      <c r="O191" s="172"/>
      <c r="P191" s="2"/>
      <c r="Q191" s="2"/>
    </row>
    <row r="192" spans="1:17" x14ac:dyDescent="0.2">
      <c r="A192" s="172"/>
      <c r="B192" s="172"/>
      <c r="C192" s="172"/>
      <c r="D192" s="172"/>
      <c r="E192" s="172"/>
      <c r="F192" s="172"/>
      <c r="G192" s="172"/>
      <c r="H192" s="172"/>
      <c r="I192" s="172"/>
      <c r="J192" s="172"/>
      <c r="K192" s="172"/>
      <c r="L192" s="172"/>
      <c r="M192" s="2"/>
      <c r="N192" s="2"/>
      <c r="O192" s="172"/>
      <c r="P192" s="2"/>
      <c r="Q192" s="2"/>
    </row>
    <row r="193" spans="1:17" x14ac:dyDescent="0.25">
      <c r="A193" s="174" t="s">
        <v>139</v>
      </c>
      <c r="B193" s="175">
        <v>0</v>
      </c>
      <c r="C193" s="175">
        <v>0</v>
      </c>
      <c r="D193" s="174">
        <v>0</v>
      </c>
      <c r="E193" s="176">
        <v>0</v>
      </c>
      <c r="F193" s="172"/>
      <c r="G193" s="172"/>
      <c r="H193" s="172" t="s">
        <v>272</v>
      </c>
      <c r="I193" s="172"/>
      <c r="J193" s="172"/>
      <c r="K193" s="172" t="s">
        <v>269</v>
      </c>
      <c r="L193" s="172"/>
      <c r="M193" s="2"/>
      <c r="N193" s="2"/>
      <c r="O193" s="172"/>
      <c r="P193" s="2"/>
      <c r="Q193" s="2"/>
    </row>
    <row r="194" spans="1:17" x14ac:dyDescent="0.25">
      <c r="A194" s="174" t="s">
        <v>138</v>
      </c>
      <c r="B194" s="175">
        <v>0</v>
      </c>
      <c r="C194" s="175">
        <v>0</v>
      </c>
      <c r="D194" s="174">
        <v>0</v>
      </c>
      <c r="E194" s="176">
        <v>0</v>
      </c>
      <c r="F194" s="172"/>
      <c r="G194" s="172"/>
      <c r="H194" s="172" t="s">
        <v>236</v>
      </c>
      <c r="I194" s="172"/>
      <c r="J194" s="172"/>
      <c r="K194" s="172" t="s">
        <v>270</v>
      </c>
      <c r="L194" s="172"/>
      <c r="M194" s="2"/>
      <c r="N194" s="2"/>
      <c r="O194" s="172"/>
      <c r="P194" s="2"/>
      <c r="Q194" s="2"/>
    </row>
    <row r="195" spans="1:17" x14ac:dyDescent="0.25">
      <c r="A195" s="174" t="s">
        <v>202</v>
      </c>
      <c r="B195" s="175">
        <v>440</v>
      </c>
      <c r="C195" s="175">
        <v>0</v>
      </c>
      <c r="D195" s="174">
        <v>1</v>
      </c>
      <c r="E195" s="176" t="s">
        <v>16</v>
      </c>
      <c r="F195" s="172"/>
      <c r="G195" s="172"/>
      <c r="H195" s="172" t="s">
        <v>237</v>
      </c>
      <c r="I195" s="172"/>
      <c r="J195" s="172"/>
      <c r="K195" s="172" t="s">
        <v>271</v>
      </c>
      <c r="L195" s="172"/>
      <c r="M195" s="2"/>
      <c r="N195" s="2"/>
      <c r="O195" s="172"/>
      <c r="P195" s="2"/>
      <c r="Q195" s="2"/>
    </row>
    <row r="196" spans="1:17" x14ac:dyDescent="0.25">
      <c r="A196" s="174" t="s">
        <v>104</v>
      </c>
      <c r="B196" s="175">
        <v>530</v>
      </c>
      <c r="C196" s="175">
        <v>30</v>
      </c>
      <c r="D196" s="174">
        <v>1</v>
      </c>
      <c r="E196" s="176" t="s">
        <v>16</v>
      </c>
      <c r="F196" s="172"/>
      <c r="G196" s="172"/>
      <c r="H196" s="172" t="s">
        <v>238</v>
      </c>
      <c r="I196" s="172"/>
      <c r="J196" s="172"/>
      <c r="K196" s="172"/>
      <c r="L196" s="172"/>
      <c r="M196" s="2"/>
      <c r="N196" s="2"/>
      <c r="O196" s="172"/>
      <c r="P196" s="2"/>
      <c r="Q196" s="2"/>
    </row>
    <row r="197" spans="1:17" x14ac:dyDescent="0.25">
      <c r="A197" s="174" t="s">
        <v>105</v>
      </c>
      <c r="B197" s="175">
        <v>530</v>
      </c>
      <c r="C197" s="175">
        <v>30</v>
      </c>
      <c r="D197" s="174">
        <v>1</v>
      </c>
      <c r="E197" s="176" t="s">
        <v>16</v>
      </c>
      <c r="F197" s="172"/>
      <c r="G197" s="172"/>
      <c r="H197" s="172" t="s">
        <v>239</v>
      </c>
      <c r="I197" s="172"/>
      <c r="J197" s="172"/>
      <c r="K197" s="172"/>
      <c r="L197" s="172"/>
      <c r="M197" s="2"/>
      <c r="N197" s="2"/>
      <c r="O197" s="172"/>
      <c r="P197" s="2"/>
      <c r="Q197" s="2"/>
    </row>
    <row r="198" spans="1:17" x14ac:dyDescent="0.25">
      <c r="A198" s="174" t="s">
        <v>106</v>
      </c>
      <c r="B198" s="175">
        <v>600</v>
      </c>
      <c r="C198" s="175">
        <v>35</v>
      </c>
      <c r="D198" s="174">
        <v>1</v>
      </c>
      <c r="E198" s="176" t="s">
        <v>16</v>
      </c>
      <c r="F198" s="172"/>
      <c r="G198" s="172"/>
      <c r="H198" s="172" t="s">
        <v>240</v>
      </c>
      <c r="I198" s="172"/>
      <c r="J198" s="172"/>
      <c r="K198" s="172"/>
      <c r="L198" s="172"/>
      <c r="M198" s="2"/>
      <c r="N198" s="2"/>
      <c r="O198" s="172"/>
      <c r="P198" s="2"/>
      <c r="Q198" s="2"/>
    </row>
    <row r="199" spans="1:17" x14ac:dyDescent="0.25">
      <c r="A199" s="174" t="s">
        <v>107</v>
      </c>
      <c r="B199" s="175">
        <v>600</v>
      </c>
      <c r="C199" s="175">
        <v>35</v>
      </c>
      <c r="D199" s="174">
        <v>1</v>
      </c>
      <c r="E199" s="176" t="s">
        <v>16</v>
      </c>
      <c r="F199" s="172"/>
      <c r="G199" s="172"/>
      <c r="H199" s="172" t="s">
        <v>241</v>
      </c>
      <c r="I199" s="172"/>
      <c r="J199" s="172"/>
      <c r="K199" s="172"/>
      <c r="L199" s="172"/>
      <c r="M199" s="2"/>
      <c r="N199" s="2"/>
      <c r="O199" s="172"/>
      <c r="P199" s="2"/>
      <c r="Q199" s="2"/>
    </row>
    <row r="200" spans="1:17" x14ac:dyDescent="0.25">
      <c r="A200" s="174" t="s">
        <v>108</v>
      </c>
      <c r="B200" s="175">
        <v>670</v>
      </c>
      <c r="C200" s="175">
        <v>40</v>
      </c>
      <c r="D200" s="174">
        <v>1</v>
      </c>
      <c r="E200" s="176" t="s">
        <v>16</v>
      </c>
      <c r="F200" s="172"/>
      <c r="G200" s="172"/>
      <c r="H200" s="172" t="s">
        <v>247</v>
      </c>
      <c r="I200" s="172"/>
      <c r="J200" s="172"/>
      <c r="K200" s="172"/>
      <c r="L200" s="172"/>
      <c r="M200" s="2"/>
      <c r="N200" s="2"/>
      <c r="O200" s="172"/>
      <c r="P200" s="2"/>
      <c r="Q200" s="2"/>
    </row>
    <row r="201" spans="1:17" x14ac:dyDescent="0.25">
      <c r="A201" s="174" t="s">
        <v>109</v>
      </c>
      <c r="B201" s="175">
        <v>670</v>
      </c>
      <c r="C201" s="175">
        <v>40</v>
      </c>
      <c r="D201" s="174">
        <v>1</v>
      </c>
      <c r="E201" s="176" t="s">
        <v>16</v>
      </c>
      <c r="F201" s="172"/>
      <c r="G201" s="172"/>
      <c r="H201" s="172" t="s">
        <v>248</v>
      </c>
      <c r="I201" s="172"/>
      <c r="J201" s="172"/>
      <c r="K201" s="172"/>
      <c r="L201" s="172"/>
      <c r="M201" s="2"/>
      <c r="N201" s="2"/>
      <c r="O201" s="172"/>
      <c r="P201" s="2"/>
      <c r="Q201" s="2"/>
    </row>
    <row r="202" spans="1:17" x14ac:dyDescent="0.25">
      <c r="A202" s="174" t="s">
        <v>110</v>
      </c>
      <c r="B202" s="175">
        <v>740</v>
      </c>
      <c r="C202" s="175">
        <v>45</v>
      </c>
      <c r="D202" s="174">
        <v>1</v>
      </c>
      <c r="E202" s="176" t="s">
        <v>16</v>
      </c>
      <c r="F202" s="172"/>
      <c r="G202" s="172"/>
      <c r="H202" s="172" t="s">
        <v>249</v>
      </c>
      <c r="I202" s="172"/>
      <c r="J202" s="172"/>
      <c r="K202" s="172"/>
      <c r="L202" s="172"/>
      <c r="M202" s="2"/>
      <c r="N202" s="2"/>
      <c r="O202" s="172"/>
      <c r="P202" s="2"/>
      <c r="Q202" s="2"/>
    </row>
    <row r="203" spans="1:17" x14ac:dyDescent="0.25">
      <c r="A203" s="174" t="s">
        <v>111</v>
      </c>
      <c r="B203" s="175">
        <v>740</v>
      </c>
      <c r="C203" s="175">
        <v>45</v>
      </c>
      <c r="D203" s="174">
        <v>1</v>
      </c>
      <c r="E203" s="176" t="s">
        <v>16</v>
      </c>
      <c r="F203" s="172"/>
      <c r="G203" s="172"/>
      <c r="H203" s="172" t="s">
        <v>257</v>
      </c>
      <c r="I203" s="172"/>
      <c r="J203" s="172"/>
      <c r="K203" s="172"/>
      <c r="L203" s="172"/>
      <c r="M203" s="2"/>
      <c r="N203" s="2"/>
      <c r="O203" s="172"/>
      <c r="P203" s="2"/>
      <c r="Q203" s="2"/>
    </row>
    <row r="204" spans="1:17" x14ac:dyDescent="0.25">
      <c r="A204" s="174" t="s">
        <v>112</v>
      </c>
      <c r="B204" s="175">
        <v>810</v>
      </c>
      <c r="C204" s="175">
        <v>50</v>
      </c>
      <c r="D204" s="174">
        <v>1</v>
      </c>
      <c r="E204" s="176" t="s">
        <v>16</v>
      </c>
      <c r="F204" s="172"/>
      <c r="G204" s="172"/>
      <c r="H204" s="172" t="s">
        <v>301</v>
      </c>
      <c r="I204" s="172"/>
      <c r="J204" s="172"/>
      <c r="K204" s="172"/>
      <c r="L204" s="172"/>
      <c r="M204" s="2"/>
      <c r="N204" s="2"/>
      <c r="O204" s="172"/>
      <c r="P204" s="2"/>
      <c r="Q204" s="2"/>
    </row>
    <row r="205" spans="1:17" x14ac:dyDescent="0.25">
      <c r="A205" s="174" t="s">
        <v>113</v>
      </c>
      <c r="B205" s="175">
        <v>810</v>
      </c>
      <c r="C205" s="175">
        <v>50</v>
      </c>
      <c r="D205" s="174">
        <v>1</v>
      </c>
      <c r="E205" s="176" t="s">
        <v>16</v>
      </c>
      <c r="F205" s="172"/>
      <c r="G205" s="172"/>
      <c r="H205" s="172" t="s">
        <v>242</v>
      </c>
      <c r="I205" s="172"/>
      <c r="J205" s="172"/>
      <c r="K205" s="172"/>
      <c r="L205" s="172"/>
      <c r="M205" s="2"/>
      <c r="N205" s="2"/>
      <c r="O205" s="172"/>
      <c r="P205" s="2"/>
      <c r="Q205" s="2"/>
    </row>
    <row r="206" spans="1:17" x14ac:dyDescent="0.25">
      <c r="A206" s="174" t="s">
        <v>114</v>
      </c>
      <c r="B206" s="175">
        <v>880</v>
      </c>
      <c r="C206" s="175">
        <v>55</v>
      </c>
      <c r="D206" s="174">
        <v>1</v>
      </c>
      <c r="E206" s="176" t="s">
        <v>16</v>
      </c>
      <c r="F206" s="172"/>
      <c r="G206" s="172"/>
      <c r="H206" s="172"/>
      <c r="I206" s="172"/>
      <c r="J206" s="172"/>
      <c r="K206" s="172"/>
      <c r="L206" s="172"/>
      <c r="M206" s="2"/>
      <c r="N206" s="2"/>
      <c r="O206" s="172"/>
      <c r="P206" s="2"/>
      <c r="Q206" s="2"/>
    </row>
    <row r="207" spans="1:17" x14ac:dyDescent="0.25">
      <c r="A207" s="174" t="s">
        <v>115</v>
      </c>
      <c r="B207" s="175">
        <v>880</v>
      </c>
      <c r="C207" s="175">
        <v>55</v>
      </c>
      <c r="D207" s="174">
        <v>1</v>
      </c>
      <c r="E207" s="176" t="s">
        <v>16</v>
      </c>
      <c r="F207" s="172"/>
      <c r="G207" s="172"/>
      <c r="H207" s="172"/>
      <c r="I207" s="172"/>
      <c r="J207" s="172"/>
      <c r="K207" s="172"/>
      <c r="L207" s="172"/>
      <c r="M207" s="2"/>
      <c r="N207" s="2"/>
      <c r="O207" s="172"/>
      <c r="P207" s="2"/>
      <c r="Q207" s="2"/>
    </row>
    <row r="208" spans="1:17" x14ac:dyDescent="0.25">
      <c r="A208" s="174" t="s">
        <v>116</v>
      </c>
      <c r="B208" s="175">
        <v>950</v>
      </c>
      <c r="C208" s="175">
        <v>60</v>
      </c>
      <c r="D208" s="174">
        <v>1</v>
      </c>
      <c r="E208" s="176" t="s">
        <v>16</v>
      </c>
      <c r="F208" s="172"/>
      <c r="G208" s="172"/>
      <c r="H208" s="172"/>
      <c r="I208" s="172"/>
      <c r="J208" s="172"/>
      <c r="K208" s="172"/>
      <c r="L208" s="172"/>
      <c r="M208" s="2"/>
      <c r="N208" s="2"/>
      <c r="O208" s="172"/>
      <c r="P208" s="2"/>
      <c r="Q208" s="2"/>
    </row>
    <row r="209" spans="1:17" x14ac:dyDescent="0.25">
      <c r="A209" s="174" t="s">
        <v>203</v>
      </c>
      <c r="B209" s="175">
        <v>950</v>
      </c>
      <c r="C209" s="175">
        <v>60</v>
      </c>
      <c r="D209" s="174">
        <v>1</v>
      </c>
      <c r="E209" s="176" t="s">
        <v>16</v>
      </c>
      <c r="F209" s="172"/>
      <c r="G209" s="172"/>
      <c r="H209" s="172"/>
      <c r="I209" s="172"/>
      <c r="J209" s="172"/>
      <c r="K209" s="172"/>
      <c r="L209" s="172"/>
      <c r="M209" s="2"/>
      <c r="N209" s="2"/>
      <c r="O209" s="172"/>
      <c r="P209" s="2"/>
      <c r="Q209" s="2"/>
    </row>
    <row r="210" spans="1:17" x14ac:dyDescent="0.25">
      <c r="A210" s="174" t="s">
        <v>117</v>
      </c>
      <c r="B210" s="175">
        <v>950</v>
      </c>
      <c r="C210" s="175">
        <v>60</v>
      </c>
      <c r="D210" s="174">
        <v>1</v>
      </c>
      <c r="E210" s="176" t="s">
        <v>16</v>
      </c>
      <c r="F210" s="172"/>
      <c r="G210" s="172"/>
      <c r="H210" s="172"/>
      <c r="I210" s="172"/>
      <c r="J210" s="172"/>
      <c r="K210" s="172"/>
      <c r="L210" s="172"/>
      <c r="M210" s="2"/>
      <c r="N210" s="2"/>
      <c r="O210" s="172"/>
      <c r="P210" s="2"/>
      <c r="Q210" s="2"/>
    </row>
    <row r="211" spans="1:17" x14ac:dyDescent="0.25">
      <c r="A211" s="174" t="s">
        <v>204</v>
      </c>
      <c r="B211" s="175">
        <v>950</v>
      </c>
      <c r="C211" s="175">
        <v>60</v>
      </c>
      <c r="D211" s="174">
        <v>1</v>
      </c>
      <c r="E211" s="176" t="s">
        <v>16</v>
      </c>
      <c r="F211" s="172"/>
      <c r="G211" s="172"/>
      <c r="H211" s="172"/>
      <c r="I211" s="172"/>
      <c r="J211" s="172"/>
      <c r="K211" s="172"/>
      <c r="L211" s="172"/>
      <c r="M211" s="2"/>
      <c r="N211" s="2"/>
      <c r="O211" s="172"/>
      <c r="P211" s="2"/>
      <c r="Q211" s="2"/>
    </row>
    <row r="212" spans="1:17" x14ac:dyDescent="0.25">
      <c r="A212" s="174" t="s">
        <v>118</v>
      </c>
      <c r="B212" s="175">
        <v>1020</v>
      </c>
      <c r="C212" s="175">
        <v>65</v>
      </c>
      <c r="D212" s="174">
        <v>1</v>
      </c>
      <c r="E212" s="176" t="s">
        <v>16</v>
      </c>
      <c r="F212" s="172"/>
      <c r="G212" s="172"/>
      <c r="H212" s="172"/>
      <c r="I212" s="172"/>
      <c r="J212" s="172"/>
      <c r="K212" s="172"/>
      <c r="L212" s="172"/>
      <c r="M212" s="2"/>
      <c r="N212" s="2"/>
      <c r="O212" s="172"/>
      <c r="P212" s="2"/>
      <c r="Q212" s="2"/>
    </row>
    <row r="213" spans="1:17" x14ac:dyDescent="0.25">
      <c r="A213" s="174" t="s">
        <v>205</v>
      </c>
      <c r="B213" s="175">
        <v>1020</v>
      </c>
      <c r="C213" s="175">
        <v>65</v>
      </c>
      <c r="D213" s="174">
        <v>1</v>
      </c>
      <c r="E213" s="176" t="s">
        <v>16</v>
      </c>
      <c r="F213" s="172"/>
      <c r="G213" s="172"/>
      <c r="H213" s="172"/>
      <c r="I213" s="172"/>
      <c r="J213" s="172"/>
      <c r="K213" s="172"/>
      <c r="L213" s="172"/>
      <c r="M213" s="2"/>
      <c r="N213" s="2"/>
      <c r="O213" s="172"/>
      <c r="P213" s="2"/>
      <c r="Q213" s="2"/>
    </row>
    <row r="214" spans="1:17" x14ac:dyDescent="0.25">
      <c r="A214" s="174" t="s">
        <v>119</v>
      </c>
      <c r="B214" s="175">
        <v>1020</v>
      </c>
      <c r="C214" s="175">
        <v>65</v>
      </c>
      <c r="D214" s="174">
        <v>1</v>
      </c>
      <c r="E214" s="176" t="s">
        <v>16</v>
      </c>
      <c r="F214" s="172"/>
      <c r="G214" s="172"/>
      <c r="H214" s="172"/>
      <c r="I214" s="172"/>
      <c r="J214" s="172"/>
      <c r="K214" s="172"/>
      <c r="L214" s="172"/>
      <c r="M214" s="2"/>
      <c r="N214" s="2"/>
      <c r="O214" s="172"/>
      <c r="P214" s="2"/>
      <c r="Q214" s="2"/>
    </row>
    <row r="215" spans="1:17" x14ac:dyDescent="0.25">
      <c r="A215" s="174" t="s">
        <v>206</v>
      </c>
      <c r="B215" s="175">
        <v>1020</v>
      </c>
      <c r="C215" s="175">
        <v>65</v>
      </c>
      <c r="D215" s="174">
        <v>1</v>
      </c>
      <c r="E215" s="176" t="s">
        <v>16</v>
      </c>
      <c r="F215" s="172"/>
      <c r="G215" s="172"/>
      <c r="H215" s="172"/>
      <c r="I215" s="172"/>
      <c r="J215" s="172"/>
      <c r="K215" s="172"/>
      <c r="L215" s="172"/>
      <c r="M215" s="2"/>
      <c r="N215" s="2"/>
      <c r="O215" s="172"/>
      <c r="P215" s="2"/>
      <c r="Q215" s="2"/>
    </row>
    <row r="216" spans="1:17" x14ac:dyDescent="0.25">
      <c r="A216" s="174" t="s">
        <v>207</v>
      </c>
      <c r="B216" s="175">
        <v>1040</v>
      </c>
      <c r="C216" s="175">
        <v>65</v>
      </c>
      <c r="D216" s="174">
        <v>1</v>
      </c>
      <c r="E216" s="176" t="s">
        <v>16</v>
      </c>
      <c r="F216" s="172"/>
      <c r="G216" s="172"/>
      <c r="H216" s="172"/>
      <c r="I216" s="172"/>
      <c r="J216" s="172"/>
      <c r="K216" s="172"/>
      <c r="L216" s="172"/>
      <c r="M216" s="2"/>
      <c r="N216" s="2"/>
      <c r="O216" s="172"/>
      <c r="P216" s="2"/>
      <c r="Q216" s="2"/>
    </row>
    <row r="217" spans="1:17" x14ac:dyDescent="0.25">
      <c r="A217" s="174" t="s">
        <v>208</v>
      </c>
      <c r="B217" s="175">
        <v>1040</v>
      </c>
      <c r="C217" s="175">
        <v>65</v>
      </c>
      <c r="D217" s="174">
        <v>1</v>
      </c>
      <c r="E217" s="176" t="s">
        <v>16</v>
      </c>
      <c r="F217" s="172"/>
      <c r="G217" s="172"/>
      <c r="H217" s="172"/>
      <c r="I217" s="172"/>
      <c r="J217" s="172"/>
      <c r="K217" s="172"/>
      <c r="L217" s="172"/>
      <c r="M217" s="2"/>
      <c r="N217" s="2"/>
      <c r="O217" s="172"/>
      <c r="P217" s="2"/>
      <c r="Q217" s="2"/>
    </row>
    <row r="218" spans="1:17" x14ac:dyDescent="0.25">
      <c r="A218" s="174" t="s">
        <v>209</v>
      </c>
      <c r="B218" s="175">
        <v>1060</v>
      </c>
      <c r="C218" s="175">
        <v>65</v>
      </c>
      <c r="D218" s="174">
        <v>1</v>
      </c>
      <c r="E218" s="176" t="s">
        <v>16</v>
      </c>
      <c r="F218" s="172"/>
      <c r="G218" s="172"/>
      <c r="H218" s="172"/>
      <c r="I218" s="172"/>
      <c r="J218" s="172"/>
      <c r="K218" s="172"/>
      <c r="L218" s="172"/>
      <c r="M218" s="2"/>
      <c r="N218" s="2"/>
      <c r="O218" s="172"/>
      <c r="P218" s="2"/>
      <c r="Q218" s="2"/>
    </row>
    <row r="219" spans="1:17" x14ac:dyDescent="0.25">
      <c r="A219" s="174" t="s">
        <v>210</v>
      </c>
      <c r="B219" s="175">
        <v>1060</v>
      </c>
      <c r="C219" s="175">
        <v>65</v>
      </c>
      <c r="D219" s="174">
        <v>1</v>
      </c>
      <c r="E219" s="176" t="s">
        <v>16</v>
      </c>
      <c r="F219" s="172"/>
      <c r="G219" s="172"/>
      <c r="H219" s="172"/>
      <c r="I219" s="172"/>
      <c r="J219" s="172"/>
      <c r="K219" s="172"/>
      <c r="L219" s="172"/>
      <c r="M219" s="2"/>
      <c r="N219" s="2"/>
      <c r="O219" s="172"/>
      <c r="P219" s="2"/>
      <c r="Q219" s="2"/>
    </row>
    <row r="220" spans="1:17" x14ac:dyDescent="0.25">
      <c r="A220" s="174" t="s">
        <v>120</v>
      </c>
      <c r="B220" s="175">
        <v>1090</v>
      </c>
      <c r="C220" s="175">
        <v>105</v>
      </c>
      <c r="D220" s="174">
        <v>1</v>
      </c>
      <c r="E220" s="176" t="s">
        <v>15</v>
      </c>
      <c r="F220" s="172"/>
      <c r="G220" s="172"/>
      <c r="H220" s="172"/>
      <c r="I220" s="172"/>
      <c r="J220" s="172"/>
      <c r="K220" s="172"/>
      <c r="L220" s="172"/>
      <c r="M220" s="2"/>
      <c r="N220" s="2"/>
      <c r="O220" s="172"/>
    </row>
    <row r="221" spans="1:17" x14ac:dyDescent="0.25">
      <c r="A221" s="174" t="s">
        <v>121</v>
      </c>
      <c r="B221" s="175">
        <v>1130</v>
      </c>
      <c r="C221" s="175">
        <v>110</v>
      </c>
      <c r="D221" s="174">
        <v>1</v>
      </c>
      <c r="E221" s="176" t="s">
        <v>15</v>
      </c>
      <c r="F221" s="172"/>
      <c r="G221" s="172"/>
      <c r="H221" s="172"/>
      <c r="I221" s="172"/>
      <c r="J221" s="172"/>
      <c r="K221" s="172"/>
      <c r="L221" s="172"/>
      <c r="M221" s="172"/>
      <c r="N221" s="172"/>
      <c r="O221" s="172"/>
    </row>
    <row r="222" spans="1:17" x14ac:dyDescent="0.25">
      <c r="A222" s="174" t="s">
        <v>122</v>
      </c>
      <c r="B222" s="175">
        <v>1200</v>
      </c>
      <c r="C222" s="175">
        <v>115</v>
      </c>
      <c r="D222" s="174">
        <v>1</v>
      </c>
      <c r="E222" s="176" t="s">
        <v>15</v>
      </c>
      <c r="F222" s="172"/>
      <c r="G222" s="172"/>
      <c r="H222" s="172"/>
      <c r="I222" s="172"/>
      <c r="J222" s="172"/>
      <c r="K222" s="172"/>
      <c r="L222" s="172"/>
      <c r="M222" s="172"/>
      <c r="N222" s="172"/>
      <c r="O222" s="172"/>
    </row>
    <row r="223" spans="1:17" x14ac:dyDescent="0.25">
      <c r="A223" s="174" t="s">
        <v>123</v>
      </c>
      <c r="B223" s="175">
        <v>1270</v>
      </c>
      <c r="C223" s="175">
        <v>120</v>
      </c>
      <c r="D223" s="174">
        <v>1</v>
      </c>
      <c r="E223" s="176" t="s">
        <v>15</v>
      </c>
      <c r="F223" s="172"/>
      <c r="G223" s="172"/>
      <c r="H223" s="172"/>
      <c r="I223" s="172"/>
      <c r="J223" s="172"/>
      <c r="K223" s="172"/>
      <c r="L223" s="172"/>
      <c r="M223" s="172"/>
      <c r="N223" s="172"/>
      <c r="O223" s="172"/>
    </row>
    <row r="224" spans="1:17" x14ac:dyDescent="0.25">
      <c r="A224" s="174" t="s">
        <v>124</v>
      </c>
      <c r="B224" s="175">
        <v>1270</v>
      </c>
      <c r="C224" s="175">
        <v>120</v>
      </c>
      <c r="D224" s="174">
        <v>1</v>
      </c>
      <c r="E224" s="176" t="s">
        <v>15</v>
      </c>
      <c r="F224" s="172"/>
      <c r="G224" s="172"/>
      <c r="H224" s="172"/>
      <c r="I224" s="172"/>
      <c r="J224" s="172"/>
      <c r="K224" s="172"/>
      <c r="L224" s="172"/>
      <c r="M224" s="172"/>
      <c r="N224" s="172"/>
      <c r="O224" s="172"/>
    </row>
    <row r="225" spans="1:15" x14ac:dyDescent="0.25">
      <c r="A225" s="174" t="s">
        <v>125</v>
      </c>
      <c r="B225" s="175">
        <v>1340</v>
      </c>
      <c r="C225" s="175">
        <v>125</v>
      </c>
      <c r="D225" s="174">
        <v>1</v>
      </c>
      <c r="E225" s="176" t="s">
        <v>14</v>
      </c>
      <c r="F225" s="172"/>
      <c r="G225" s="172"/>
      <c r="H225" s="172"/>
      <c r="I225" s="172"/>
      <c r="J225" s="172"/>
      <c r="K225" s="172"/>
      <c r="L225" s="172"/>
      <c r="M225" s="172"/>
      <c r="N225" s="172"/>
      <c r="O225" s="172"/>
    </row>
    <row r="226" spans="1:15" x14ac:dyDescent="0.25">
      <c r="A226" s="174" t="s">
        <v>126</v>
      </c>
      <c r="B226" s="175">
        <v>1340</v>
      </c>
      <c r="C226" s="175">
        <v>125</v>
      </c>
      <c r="D226" s="174">
        <v>1</v>
      </c>
      <c r="E226" s="176" t="s">
        <v>14</v>
      </c>
      <c r="F226" s="172"/>
      <c r="G226" s="172"/>
      <c r="H226" s="172"/>
      <c r="I226" s="172"/>
      <c r="J226" s="172"/>
      <c r="K226" s="172"/>
      <c r="L226" s="172"/>
      <c r="M226" s="172"/>
      <c r="N226" s="172"/>
      <c r="O226" s="172"/>
    </row>
    <row r="227" spans="1:15" x14ac:dyDescent="0.25">
      <c r="A227" s="174" t="s">
        <v>127</v>
      </c>
      <c r="B227" s="175">
        <v>1410</v>
      </c>
      <c r="C227" s="175">
        <v>130</v>
      </c>
      <c r="D227" s="174">
        <v>1</v>
      </c>
      <c r="E227" s="176" t="s">
        <v>14</v>
      </c>
      <c r="F227" s="172"/>
      <c r="G227" s="172"/>
      <c r="H227" s="172"/>
      <c r="I227" s="172"/>
      <c r="J227" s="172"/>
      <c r="K227" s="172"/>
      <c r="L227" s="172"/>
      <c r="M227" s="172"/>
      <c r="N227" s="172"/>
      <c r="O227" s="172"/>
    </row>
    <row r="228" spans="1:15" x14ac:dyDescent="0.25">
      <c r="A228" s="174" t="s">
        <v>128</v>
      </c>
      <c r="B228" s="175">
        <v>1410</v>
      </c>
      <c r="C228" s="175">
        <v>130</v>
      </c>
      <c r="D228" s="174">
        <v>1</v>
      </c>
      <c r="E228" s="176" t="s">
        <v>14</v>
      </c>
      <c r="F228" s="172"/>
      <c r="G228" s="172"/>
      <c r="H228" s="172"/>
      <c r="I228" s="172"/>
      <c r="J228" s="172"/>
      <c r="K228" s="172"/>
      <c r="L228" s="172"/>
      <c r="M228" s="172"/>
      <c r="N228" s="172"/>
      <c r="O228" s="172"/>
    </row>
    <row r="229" spans="1:15" x14ac:dyDescent="0.25">
      <c r="A229" s="174" t="s">
        <v>129</v>
      </c>
      <c r="B229" s="175">
        <v>1480</v>
      </c>
      <c r="C229" s="175">
        <v>135</v>
      </c>
      <c r="D229" s="174">
        <v>1</v>
      </c>
      <c r="E229" s="176" t="s">
        <v>14</v>
      </c>
      <c r="F229" s="172"/>
      <c r="G229" s="172"/>
      <c r="H229" s="172"/>
      <c r="I229" s="172"/>
      <c r="J229" s="172"/>
      <c r="K229" s="172"/>
      <c r="L229" s="172"/>
      <c r="M229" s="172"/>
      <c r="N229" s="172"/>
      <c r="O229" s="172"/>
    </row>
    <row r="230" spans="1:15" x14ac:dyDescent="0.25">
      <c r="A230" s="174" t="s">
        <v>130</v>
      </c>
      <c r="B230" s="175">
        <v>1480</v>
      </c>
      <c r="C230" s="175">
        <v>135</v>
      </c>
      <c r="D230" s="174">
        <v>1</v>
      </c>
      <c r="E230" s="176" t="s">
        <v>14</v>
      </c>
      <c r="F230" s="172"/>
      <c r="G230" s="172"/>
      <c r="H230" s="172"/>
      <c r="I230" s="172"/>
      <c r="J230" s="172"/>
      <c r="K230" s="172"/>
      <c r="L230" s="172"/>
      <c r="M230" s="172"/>
      <c r="N230" s="172"/>
      <c r="O230" s="172"/>
    </row>
    <row r="231" spans="1:15" x14ac:dyDescent="0.25">
      <c r="A231" s="174" t="s">
        <v>211</v>
      </c>
      <c r="B231" s="175">
        <v>1550</v>
      </c>
      <c r="C231" s="175">
        <v>140</v>
      </c>
      <c r="D231" s="174">
        <v>1</v>
      </c>
      <c r="E231" s="176" t="s">
        <v>13</v>
      </c>
      <c r="F231" s="172"/>
      <c r="G231" s="172"/>
      <c r="H231" s="172"/>
      <c r="I231" s="172"/>
      <c r="J231" s="172"/>
      <c r="K231" s="172"/>
      <c r="L231" s="172"/>
      <c r="M231" s="172"/>
      <c r="N231" s="172"/>
      <c r="O231" s="172"/>
    </row>
    <row r="232" spans="1:15" x14ac:dyDescent="0.25">
      <c r="A232" s="174" t="s">
        <v>212</v>
      </c>
      <c r="B232" s="175">
        <v>1550</v>
      </c>
      <c r="C232" s="175">
        <v>140</v>
      </c>
      <c r="D232" s="174">
        <v>1</v>
      </c>
      <c r="E232" s="176" t="s">
        <v>13</v>
      </c>
      <c r="F232" s="172"/>
      <c r="G232" s="172"/>
      <c r="H232" s="172"/>
      <c r="I232" s="172"/>
      <c r="J232" s="172"/>
      <c r="K232" s="172"/>
      <c r="L232" s="172"/>
      <c r="M232" s="172"/>
      <c r="N232" s="172"/>
    </row>
    <row r="233" spans="1:15" x14ac:dyDescent="0.25">
      <c r="A233" s="174" t="s">
        <v>131</v>
      </c>
      <c r="B233" s="175">
        <v>1620</v>
      </c>
      <c r="C233" s="175">
        <v>140</v>
      </c>
      <c r="D233" s="174">
        <v>1</v>
      </c>
      <c r="E233" s="176" t="s">
        <v>13</v>
      </c>
      <c r="F233" s="172"/>
      <c r="G233" s="172"/>
      <c r="H233" s="172"/>
      <c r="I233" s="172"/>
      <c r="J233" s="172"/>
      <c r="K233" s="172"/>
      <c r="L233" s="172"/>
      <c r="M233" s="172"/>
      <c r="N233" s="172"/>
    </row>
    <row r="234" spans="1:15" x14ac:dyDescent="0.25">
      <c r="A234" s="174" t="s">
        <v>132</v>
      </c>
      <c r="B234" s="175">
        <v>1620</v>
      </c>
      <c r="C234" s="175">
        <v>140</v>
      </c>
      <c r="D234" s="174">
        <v>1</v>
      </c>
      <c r="E234" s="176" t="s">
        <v>13</v>
      </c>
      <c r="F234" s="172"/>
      <c r="G234" s="172"/>
      <c r="H234" s="172"/>
      <c r="I234" s="172"/>
      <c r="J234" s="172"/>
      <c r="K234" s="172"/>
      <c r="L234" s="172"/>
      <c r="M234" s="172"/>
      <c r="N234" s="172"/>
    </row>
    <row r="235" spans="1:15" x14ac:dyDescent="0.25">
      <c r="A235" s="174" t="s">
        <v>133</v>
      </c>
      <c r="B235" s="175">
        <v>1690</v>
      </c>
      <c r="C235" s="175">
        <v>145</v>
      </c>
      <c r="D235" s="174">
        <v>1</v>
      </c>
      <c r="E235" s="176" t="s">
        <v>13</v>
      </c>
      <c r="F235" s="172"/>
      <c r="G235" s="172"/>
      <c r="H235" s="172"/>
      <c r="I235" s="172"/>
      <c r="J235" s="172"/>
      <c r="K235" s="172"/>
      <c r="L235" s="172"/>
      <c r="M235" s="172"/>
      <c r="N235" s="172"/>
    </row>
    <row r="236" spans="1:15" x14ac:dyDescent="0.25">
      <c r="A236" s="174" t="s">
        <v>134</v>
      </c>
      <c r="B236" s="175">
        <v>1690</v>
      </c>
      <c r="C236" s="175">
        <v>145</v>
      </c>
      <c r="D236" s="174">
        <v>1</v>
      </c>
      <c r="E236" s="176" t="s">
        <v>13</v>
      </c>
      <c r="F236" s="172"/>
      <c r="G236" s="172"/>
      <c r="H236" s="172"/>
      <c r="I236" s="172"/>
      <c r="J236" s="172"/>
      <c r="K236" s="172"/>
      <c r="L236" s="172"/>
      <c r="M236" s="172"/>
      <c r="N236" s="172"/>
    </row>
    <row r="237" spans="1:15" x14ac:dyDescent="0.25">
      <c r="A237" s="174" t="s">
        <v>135</v>
      </c>
      <c r="B237" s="175">
        <v>1690</v>
      </c>
      <c r="C237" s="175">
        <v>150</v>
      </c>
      <c r="D237" s="174">
        <v>1</v>
      </c>
      <c r="E237" s="176" t="s">
        <v>13</v>
      </c>
      <c r="F237" s="172"/>
      <c r="G237" s="172"/>
      <c r="H237" s="172"/>
      <c r="I237" s="172"/>
      <c r="J237" s="172"/>
      <c r="K237" s="172"/>
      <c r="L237" s="172"/>
      <c r="M237" s="172"/>
      <c r="N237" s="172"/>
    </row>
    <row r="238" spans="1:15" x14ac:dyDescent="0.25">
      <c r="A238" s="174" t="s">
        <v>136</v>
      </c>
      <c r="B238" s="175">
        <v>1690</v>
      </c>
      <c r="C238" s="175">
        <v>150</v>
      </c>
      <c r="D238" s="174">
        <v>1</v>
      </c>
      <c r="E238" s="176" t="s">
        <v>13</v>
      </c>
      <c r="F238" s="172"/>
      <c r="G238" s="172"/>
      <c r="H238" s="172"/>
      <c r="I238" s="172"/>
      <c r="J238" s="172"/>
      <c r="K238" s="172"/>
      <c r="L238" s="172"/>
      <c r="M238" s="172"/>
      <c r="N238" s="172"/>
    </row>
    <row r="239" spans="1:15" x14ac:dyDescent="0.25">
      <c r="A239" s="174" t="s">
        <v>137</v>
      </c>
      <c r="B239" s="175">
        <v>1760</v>
      </c>
      <c r="C239" s="175">
        <v>160</v>
      </c>
      <c r="D239" s="174">
        <v>1</v>
      </c>
      <c r="E239" s="176" t="s">
        <v>13</v>
      </c>
      <c r="F239" s="172"/>
      <c r="G239" s="172"/>
      <c r="H239" s="172"/>
      <c r="I239" s="172"/>
      <c r="J239" s="172"/>
      <c r="K239" s="172"/>
      <c r="L239" s="172"/>
      <c r="M239" s="172"/>
      <c r="N239" s="172"/>
    </row>
    <row r="240" spans="1:15" x14ac:dyDescent="0.2">
      <c r="A240" s="172"/>
      <c r="B240" s="172"/>
      <c r="C240" s="172"/>
      <c r="D240" s="172"/>
      <c r="E240" s="172"/>
      <c r="F240" s="172"/>
      <c r="G240" s="172"/>
      <c r="H240" s="172"/>
      <c r="I240" s="172"/>
      <c r="J240" s="172"/>
      <c r="K240" s="172"/>
      <c r="L240" s="172"/>
      <c r="M240" s="172"/>
      <c r="N240" s="172"/>
    </row>
    <row r="241" spans="1:14" x14ac:dyDescent="0.2">
      <c r="A241" s="172"/>
      <c r="B241" s="172"/>
      <c r="C241" s="172"/>
      <c r="D241" s="172"/>
      <c r="E241" s="172"/>
      <c r="F241" s="172"/>
      <c r="G241" s="172"/>
      <c r="H241" s="172"/>
      <c r="I241" s="172"/>
      <c r="J241" s="172"/>
      <c r="K241" s="172"/>
      <c r="L241" s="172"/>
      <c r="M241" s="172"/>
      <c r="N241" s="172"/>
    </row>
  </sheetData>
  <dataConsolidate/>
  <mergeCells count="604">
    <mergeCell ref="AX114:AY114"/>
    <mergeCell ref="AZ114:BA114"/>
    <mergeCell ref="BB114:BC114"/>
    <mergeCell ref="BD114:BE114"/>
    <mergeCell ref="AR113:BE113"/>
    <mergeCell ref="AB113:AB115"/>
    <mergeCell ref="AG113:AG115"/>
    <mergeCell ref="AQ113:AQ115"/>
    <mergeCell ref="I46:J46"/>
    <mergeCell ref="R69:U70"/>
    <mergeCell ref="AB46:AC46"/>
    <mergeCell ref="T52:AE52"/>
    <mergeCell ref="T50:AE51"/>
    <mergeCell ref="AD48:AE48"/>
    <mergeCell ref="AD47:AE47"/>
    <mergeCell ref="T48:Z48"/>
    <mergeCell ref="AB48:AC48"/>
    <mergeCell ref="AB47:AC47"/>
    <mergeCell ref="AE75:AE76"/>
    <mergeCell ref="AE77:AE78"/>
    <mergeCell ref="V78:W78"/>
    <mergeCell ref="AC85:AD85"/>
    <mergeCell ref="AC86:AD86"/>
    <mergeCell ref="AC82:AD82"/>
    <mergeCell ref="AR114:AS114"/>
    <mergeCell ref="AT114:AU114"/>
    <mergeCell ref="AV114:AW114"/>
    <mergeCell ref="C47:D47"/>
    <mergeCell ref="E47:F47"/>
    <mergeCell ref="C48:D48"/>
    <mergeCell ref="I63:O63"/>
    <mergeCell ref="AC57:AE57"/>
    <mergeCell ref="I48:J48"/>
    <mergeCell ref="AA53:AE53"/>
    <mergeCell ref="AE71:AE72"/>
    <mergeCell ref="AC70:AD70"/>
    <mergeCell ref="I47:J47"/>
    <mergeCell ref="M48:N48"/>
    <mergeCell ref="T47:Z47"/>
    <mergeCell ref="P69:Q70"/>
    <mergeCell ref="AC67:AD67"/>
    <mergeCell ref="AC68:AD68"/>
    <mergeCell ref="P71:Q72"/>
    <mergeCell ref="M113:AA113"/>
    <mergeCell ref="AA114:AA115"/>
    <mergeCell ref="V69:W69"/>
    <mergeCell ref="AE69:AE70"/>
    <mergeCell ref="R71:U72"/>
    <mergeCell ref="V71:W71"/>
    <mergeCell ref="P67:Q68"/>
    <mergeCell ref="V72:W72"/>
    <mergeCell ref="C43:D43"/>
    <mergeCell ref="C44:D44"/>
    <mergeCell ref="C45:D45"/>
    <mergeCell ref="C46:D46"/>
    <mergeCell ref="E43:F43"/>
    <mergeCell ref="E44:F44"/>
    <mergeCell ref="E45:F45"/>
    <mergeCell ref="E46:F46"/>
    <mergeCell ref="E48:F48"/>
    <mergeCell ref="Q44:R44"/>
    <mergeCell ref="N65:O65"/>
    <mergeCell ref="M47:N47"/>
    <mergeCell ref="Q47:R47"/>
    <mergeCell ref="R65:U66"/>
    <mergeCell ref="V66:W66"/>
    <mergeCell ref="AC66:AD66"/>
    <mergeCell ref="AE73:AE74"/>
    <mergeCell ref="AC74:AD74"/>
    <mergeCell ref="AC65:AD65"/>
    <mergeCell ref="AE65:AE66"/>
    <mergeCell ref="AE67:AE68"/>
    <mergeCell ref="V68:W68"/>
    <mergeCell ref="AC72:AD72"/>
    <mergeCell ref="AC69:AD69"/>
    <mergeCell ref="V70:W70"/>
    <mergeCell ref="V67:W67"/>
    <mergeCell ref="X63:AD63"/>
    <mergeCell ref="AE63:AE64"/>
    <mergeCell ref="O47:P47"/>
    <mergeCell ref="Q46:R46"/>
    <mergeCell ref="Q48:R48"/>
    <mergeCell ref="A43:B43"/>
    <mergeCell ref="A60:AE60"/>
    <mergeCell ref="M44:N44"/>
    <mergeCell ref="O44:P44"/>
    <mergeCell ref="O45:P45"/>
    <mergeCell ref="AD43:AE43"/>
    <mergeCell ref="AD44:AE45"/>
    <mergeCell ref="I44:J44"/>
    <mergeCell ref="I45:J45"/>
    <mergeCell ref="P63:Q64"/>
    <mergeCell ref="M45:N45"/>
    <mergeCell ref="M43:N43"/>
    <mergeCell ref="V56:AE56"/>
    <mergeCell ref="R63:W64"/>
    <mergeCell ref="AD46:AE46"/>
    <mergeCell ref="N64:O64"/>
    <mergeCell ref="AC64:AD64"/>
    <mergeCell ref="I43:J43"/>
    <mergeCell ref="A61:AE61"/>
    <mergeCell ref="U144:W144"/>
    <mergeCell ref="I144:K144"/>
    <mergeCell ref="A51:C51"/>
    <mergeCell ref="N66:O66"/>
    <mergeCell ref="P65:Q66"/>
    <mergeCell ref="AC144:AE144"/>
    <mergeCell ref="X144:Z144"/>
    <mergeCell ref="AA144:AB144"/>
    <mergeCell ref="B144:E144"/>
    <mergeCell ref="F144:H144"/>
    <mergeCell ref="M144:P144"/>
    <mergeCell ref="Q144:R144"/>
    <mergeCell ref="S144:T144"/>
    <mergeCell ref="G116:H116"/>
    <mergeCell ref="G117:H117"/>
    <mergeCell ref="V74:W74"/>
    <mergeCell ref="V65:W65"/>
    <mergeCell ref="A71:F72"/>
    <mergeCell ref="A81:F82"/>
    <mergeCell ref="N72:O72"/>
    <mergeCell ref="A75:F76"/>
    <mergeCell ref="G75:H75"/>
    <mergeCell ref="R73:U74"/>
    <mergeCell ref="V73:W73"/>
    <mergeCell ref="T53:V53"/>
    <mergeCell ref="X53:Y53"/>
    <mergeCell ref="AB44:AC45"/>
    <mergeCell ref="O43:P43"/>
    <mergeCell ref="A47:B47"/>
    <mergeCell ref="T44:Z45"/>
    <mergeCell ref="AA44:AA45"/>
    <mergeCell ref="T46:Z46"/>
    <mergeCell ref="AD36:AE37"/>
    <mergeCell ref="AD38:AE38"/>
    <mergeCell ref="T43:Z43"/>
    <mergeCell ref="AB43:AC43"/>
    <mergeCell ref="T38:U38"/>
    <mergeCell ref="V38:Z38"/>
    <mergeCell ref="T36:Z37"/>
    <mergeCell ref="AB38:AC38"/>
    <mergeCell ref="AA36:AA37"/>
    <mergeCell ref="AB36:AC37"/>
    <mergeCell ref="AD41:AE41"/>
    <mergeCell ref="AD42:AE42"/>
    <mergeCell ref="AD39:AE39"/>
    <mergeCell ref="AD40:AE40"/>
    <mergeCell ref="T42:Z42"/>
    <mergeCell ref="AB42:AC42"/>
    <mergeCell ref="AB41:AC41"/>
    <mergeCell ref="T39:Z39"/>
    <mergeCell ref="T40:Z40"/>
    <mergeCell ref="T41:Z41"/>
    <mergeCell ref="AB39:AC39"/>
    <mergeCell ref="AB40:AC40"/>
    <mergeCell ref="A46:B46"/>
    <mergeCell ref="M46:N46"/>
    <mergeCell ref="O48:P48"/>
    <mergeCell ref="Q43:R43"/>
    <mergeCell ref="A44:B44"/>
    <mergeCell ref="D33:E33"/>
    <mergeCell ref="O33:P33"/>
    <mergeCell ref="Q33:R33"/>
    <mergeCell ref="L33:N33"/>
    <mergeCell ref="O41:P41"/>
    <mergeCell ref="Q42:R42"/>
    <mergeCell ref="O42:P42"/>
    <mergeCell ref="A35:H38"/>
    <mergeCell ref="M42:N42"/>
    <mergeCell ref="A42:B42"/>
    <mergeCell ref="C39:D41"/>
    <mergeCell ref="E39:F41"/>
    <mergeCell ref="C42:D42"/>
    <mergeCell ref="E42:F42"/>
    <mergeCell ref="H33:I33"/>
    <mergeCell ref="I35:R38"/>
    <mergeCell ref="K39:L40"/>
    <mergeCell ref="M41:N41"/>
    <mergeCell ref="Q39:R41"/>
    <mergeCell ref="M39:P40"/>
    <mergeCell ref="F33:G33"/>
    <mergeCell ref="I39:J41"/>
    <mergeCell ref="I42:J42"/>
    <mergeCell ref="D32:E32"/>
    <mergeCell ref="D28:E28"/>
    <mergeCell ref="A65:F66"/>
    <mergeCell ref="G65:H65"/>
    <mergeCell ref="A53:C53"/>
    <mergeCell ref="F53:H53"/>
    <mergeCell ref="C62:E62"/>
    <mergeCell ref="G66:H66"/>
    <mergeCell ref="A63:H64"/>
    <mergeCell ref="H30:I30"/>
    <mergeCell ref="B31:C31"/>
    <mergeCell ref="A39:B41"/>
    <mergeCell ref="B30:C30"/>
    <mergeCell ref="B33:C33"/>
    <mergeCell ref="A45:B45"/>
    <mergeCell ref="A48:B48"/>
    <mergeCell ref="B32:C32"/>
    <mergeCell ref="B28:C28"/>
    <mergeCell ref="B29:C29"/>
    <mergeCell ref="D31:E31"/>
    <mergeCell ref="H29:I29"/>
    <mergeCell ref="D29:E29"/>
    <mergeCell ref="D30:E30"/>
    <mergeCell ref="F30:G30"/>
    <mergeCell ref="AF1:AG1"/>
    <mergeCell ref="AB3:AE3"/>
    <mergeCell ref="AF3:AG3"/>
    <mergeCell ref="A5:C5"/>
    <mergeCell ref="D5:F5"/>
    <mergeCell ref="A4:G4"/>
    <mergeCell ref="H5:Z5"/>
    <mergeCell ref="V1:AE2"/>
    <mergeCell ref="E17:F17"/>
    <mergeCell ref="I10:AE10"/>
    <mergeCell ref="I17:L17"/>
    <mergeCell ref="M11:P16"/>
    <mergeCell ref="AD11:AD16"/>
    <mergeCell ref="T11:U16"/>
    <mergeCell ref="T17:U17"/>
    <mergeCell ref="V17:X17"/>
    <mergeCell ref="A10:B16"/>
    <mergeCell ref="A17:B17"/>
    <mergeCell ref="C17:D17"/>
    <mergeCell ref="C10:H15"/>
    <mergeCell ref="Q11:S16"/>
    <mergeCell ref="C16:D16"/>
    <mergeCell ref="Q17:S17"/>
    <mergeCell ref="M17:P17"/>
    <mergeCell ref="AF10:AF16"/>
    <mergeCell ref="E16:F16"/>
    <mergeCell ref="I11:L16"/>
    <mergeCell ref="H22:I26"/>
    <mergeCell ref="J24:J26"/>
    <mergeCell ref="K24:K26"/>
    <mergeCell ref="A20:R21"/>
    <mergeCell ref="O22:R24"/>
    <mergeCell ref="T21:Z22"/>
    <mergeCell ref="E18:F18"/>
    <mergeCell ref="F22:G26"/>
    <mergeCell ref="T20:AE20"/>
    <mergeCell ref="J22:K23"/>
    <mergeCell ref="C18:D18"/>
    <mergeCell ref="Q18:S18"/>
    <mergeCell ref="M18:P18"/>
    <mergeCell ref="L22:N26"/>
    <mergeCell ref="T18:U18"/>
    <mergeCell ref="A18:B18"/>
    <mergeCell ref="B22:C26"/>
    <mergeCell ref="AD26:AE26"/>
    <mergeCell ref="Y11:Z16"/>
    <mergeCell ref="Y17:Z17"/>
    <mergeCell ref="Y18:Z18"/>
    <mergeCell ref="H7:Z7"/>
    <mergeCell ref="V18:X18"/>
    <mergeCell ref="AD21:AE22"/>
    <mergeCell ref="T27:Z27"/>
    <mergeCell ref="AB23:AC23"/>
    <mergeCell ref="AD23:AE23"/>
    <mergeCell ref="AD24:AE24"/>
    <mergeCell ref="AB24:AC24"/>
    <mergeCell ref="A9:B9"/>
    <mergeCell ref="C9:G9"/>
    <mergeCell ref="D22:E26"/>
    <mergeCell ref="AA21:AA22"/>
    <mergeCell ref="T24:Z24"/>
    <mergeCell ref="H8:Z8"/>
    <mergeCell ref="A22:A26"/>
    <mergeCell ref="T23:Z23"/>
    <mergeCell ref="I18:L18"/>
    <mergeCell ref="V11:X16"/>
    <mergeCell ref="B27:C27"/>
    <mergeCell ref="D27:E27"/>
    <mergeCell ref="AB21:AC22"/>
    <mergeCell ref="L27:N27"/>
    <mergeCell ref="O25:P26"/>
    <mergeCell ref="F27:G27"/>
    <mergeCell ref="AD29:AE30"/>
    <mergeCell ref="T25:Z25"/>
    <mergeCell ref="AB25:AC25"/>
    <mergeCell ref="T26:Z26"/>
    <mergeCell ref="AB26:AC26"/>
    <mergeCell ref="AD28:AE28"/>
    <mergeCell ref="AD25:AE25"/>
    <mergeCell ref="O27:P27"/>
    <mergeCell ref="H27:I27"/>
    <mergeCell ref="Q27:R27"/>
    <mergeCell ref="Q28:R28"/>
    <mergeCell ref="L28:N28"/>
    <mergeCell ref="AB27:AC27"/>
    <mergeCell ref="AB28:AC28"/>
    <mergeCell ref="O28:P28"/>
    <mergeCell ref="Q25:R26"/>
    <mergeCell ref="AD27:AE27"/>
    <mergeCell ref="L29:N29"/>
    <mergeCell ref="O29:P29"/>
    <mergeCell ref="O30:P30"/>
    <mergeCell ref="Q29:R29"/>
    <mergeCell ref="Q30:R30"/>
    <mergeCell ref="L30:N30"/>
    <mergeCell ref="T29:Z30"/>
    <mergeCell ref="F29:G29"/>
    <mergeCell ref="H28:I28"/>
    <mergeCell ref="F28:G28"/>
    <mergeCell ref="AB29:AC30"/>
    <mergeCell ref="AA29:AA30"/>
    <mergeCell ref="T28:Z28"/>
    <mergeCell ref="F31:G31"/>
    <mergeCell ref="F32:G32"/>
    <mergeCell ref="L31:N31"/>
    <mergeCell ref="L32:N32"/>
    <mergeCell ref="H32:I32"/>
    <mergeCell ref="H31:I31"/>
    <mergeCell ref="Q31:R31"/>
    <mergeCell ref="AD34:AE34"/>
    <mergeCell ref="T35:Z35"/>
    <mergeCell ref="AB35:AC35"/>
    <mergeCell ref="AD35:AE35"/>
    <mergeCell ref="AD33:AE33"/>
    <mergeCell ref="AD31:AE32"/>
    <mergeCell ref="O32:P32"/>
    <mergeCell ref="T31:Z32"/>
    <mergeCell ref="AA31:AA32"/>
    <mergeCell ref="AB33:AC33"/>
    <mergeCell ref="T33:Z33"/>
    <mergeCell ref="AB31:AC32"/>
    <mergeCell ref="O31:P31"/>
    <mergeCell ref="Q32:R32"/>
    <mergeCell ref="T34:Z34"/>
    <mergeCell ref="AB34:AC34"/>
    <mergeCell ref="Q45:R45"/>
    <mergeCell ref="O46:P46"/>
    <mergeCell ref="G69:H69"/>
    <mergeCell ref="N69:O69"/>
    <mergeCell ref="G70:H70"/>
    <mergeCell ref="N70:O70"/>
    <mergeCell ref="A67:F68"/>
    <mergeCell ref="G67:H67"/>
    <mergeCell ref="G68:H68"/>
    <mergeCell ref="N67:O67"/>
    <mergeCell ref="N68:O68"/>
    <mergeCell ref="A54:B54"/>
    <mergeCell ref="A52:Q52"/>
    <mergeCell ref="M51:Q51"/>
    <mergeCell ref="A50:Q50"/>
    <mergeCell ref="F51:H51"/>
    <mergeCell ref="M53:Q53"/>
    <mergeCell ref="R67:U68"/>
    <mergeCell ref="A69:F70"/>
    <mergeCell ref="A73:F74"/>
    <mergeCell ref="G73:H73"/>
    <mergeCell ref="N73:O73"/>
    <mergeCell ref="P73:Q74"/>
    <mergeCell ref="G74:H74"/>
    <mergeCell ref="N74:O74"/>
    <mergeCell ref="N71:O71"/>
    <mergeCell ref="G72:H72"/>
    <mergeCell ref="N75:O75"/>
    <mergeCell ref="V76:W76"/>
    <mergeCell ref="AC77:AD77"/>
    <mergeCell ref="AC78:AD78"/>
    <mergeCell ref="R77:U78"/>
    <mergeCell ref="V77:W77"/>
    <mergeCell ref="AC76:AD76"/>
    <mergeCell ref="G71:H71"/>
    <mergeCell ref="AC71:AD71"/>
    <mergeCell ref="N76:O76"/>
    <mergeCell ref="P75:Q76"/>
    <mergeCell ref="G76:H76"/>
    <mergeCell ref="R75:U76"/>
    <mergeCell ref="V75:W75"/>
    <mergeCell ref="AC73:AD73"/>
    <mergeCell ref="AC75:AD75"/>
    <mergeCell ref="G84:H84"/>
    <mergeCell ref="N84:O84"/>
    <mergeCell ref="R83:U84"/>
    <mergeCell ref="V83:W83"/>
    <mergeCell ref="N83:O83"/>
    <mergeCell ref="P83:Q84"/>
    <mergeCell ref="G81:H81"/>
    <mergeCell ref="N81:O81"/>
    <mergeCell ref="A77:F78"/>
    <mergeCell ref="G82:H82"/>
    <mergeCell ref="A79:F80"/>
    <mergeCell ref="G79:H79"/>
    <mergeCell ref="N79:O79"/>
    <mergeCell ref="P79:Q80"/>
    <mergeCell ref="G80:H80"/>
    <mergeCell ref="N80:O80"/>
    <mergeCell ref="V82:W82"/>
    <mergeCell ref="G77:H77"/>
    <mergeCell ref="N77:O77"/>
    <mergeCell ref="G78:H78"/>
    <mergeCell ref="N78:O78"/>
    <mergeCell ref="P77:Q78"/>
    <mergeCell ref="AC83:AD83"/>
    <mergeCell ref="AC84:AD84"/>
    <mergeCell ref="AE83:AE84"/>
    <mergeCell ref="V84:W84"/>
    <mergeCell ref="AE79:AE80"/>
    <mergeCell ref="V80:W80"/>
    <mergeCell ref="AC81:AD81"/>
    <mergeCell ref="V81:W81"/>
    <mergeCell ref="AC79:AD79"/>
    <mergeCell ref="AC80:AD80"/>
    <mergeCell ref="V79:W79"/>
    <mergeCell ref="K133:M133"/>
    <mergeCell ref="B117:D117"/>
    <mergeCell ref="E117:F117"/>
    <mergeCell ref="A83:F84"/>
    <mergeCell ref="A85:F86"/>
    <mergeCell ref="G85:H85"/>
    <mergeCell ref="G83:H83"/>
    <mergeCell ref="G86:H86"/>
    <mergeCell ref="H62:Y62"/>
    <mergeCell ref="N86:O86"/>
    <mergeCell ref="N82:O82"/>
    <mergeCell ref="P81:Q82"/>
    <mergeCell ref="R79:U80"/>
    <mergeCell ref="Y89:Y90"/>
    <mergeCell ref="R89:W90"/>
    <mergeCell ref="X89:X90"/>
    <mergeCell ref="A89:F90"/>
    <mergeCell ref="H95:J95"/>
    <mergeCell ref="A91:F91"/>
    <mergeCell ref="G91:H91"/>
    <mergeCell ref="N90:O90"/>
    <mergeCell ref="G90:H90"/>
    <mergeCell ref="G89:H89"/>
    <mergeCell ref="A92:J92"/>
    <mergeCell ref="AC146:AE146"/>
    <mergeCell ref="A145:T145"/>
    <mergeCell ref="U145:W145"/>
    <mergeCell ref="X145:Z145"/>
    <mergeCell ref="AA145:AB145"/>
    <mergeCell ref="AC145:AE145"/>
    <mergeCell ref="A151:B151"/>
    <mergeCell ref="A147:J147"/>
    <mergeCell ref="A148:C148"/>
    <mergeCell ref="H148:J148"/>
    <mergeCell ref="A149:J149"/>
    <mergeCell ref="A150:C150"/>
    <mergeCell ref="H150:J150"/>
    <mergeCell ref="X143:Z143"/>
    <mergeCell ref="U141:W141"/>
    <mergeCell ref="U139:AB140"/>
    <mergeCell ref="AC143:AE143"/>
    <mergeCell ref="AA141:AB141"/>
    <mergeCell ref="A139:A141"/>
    <mergeCell ref="F143:H143"/>
    <mergeCell ref="Q142:R142"/>
    <mergeCell ref="M142:P142"/>
    <mergeCell ref="B143:E143"/>
    <mergeCell ref="M139:P141"/>
    <mergeCell ref="Q139:R141"/>
    <mergeCell ref="B139:E141"/>
    <mergeCell ref="F139:H141"/>
    <mergeCell ref="U143:W143"/>
    <mergeCell ref="S142:T142"/>
    <mergeCell ref="S143:T143"/>
    <mergeCell ref="Q143:R143"/>
    <mergeCell ref="M143:P143"/>
    <mergeCell ref="I142:K142"/>
    <mergeCell ref="I143:K143"/>
    <mergeCell ref="U142:W142"/>
    <mergeCell ref="S139:T141"/>
    <mergeCell ref="AA143:AB143"/>
    <mergeCell ref="AC139:AE141"/>
    <mergeCell ref="Q119:R119"/>
    <mergeCell ref="C138:E138"/>
    <mergeCell ref="A131:C131"/>
    <mergeCell ref="A135:AE135"/>
    <mergeCell ref="AC142:AE142"/>
    <mergeCell ref="X141:Z141"/>
    <mergeCell ref="B142:E142"/>
    <mergeCell ref="F142:H142"/>
    <mergeCell ref="I139:L141"/>
    <mergeCell ref="H138:Y138"/>
    <mergeCell ref="A137:AE137"/>
    <mergeCell ref="H124:J124"/>
    <mergeCell ref="K131:O131"/>
    <mergeCell ref="M119:N119"/>
    <mergeCell ref="L130:O130"/>
    <mergeCell ref="A123:J123"/>
    <mergeCell ref="A119:K119"/>
    <mergeCell ref="A122:C122"/>
    <mergeCell ref="H122:J122"/>
    <mergeCell ref="AA142:AB142"/>
    <mergeCell ref="X142:Z142"/>
    <mergeCell ref="A136:AE136"/>
    <mergeCell ref="AC130:AE130"/>
    <mergeCell ref="A125:B125"/>
    <mergeCell ref="A124:C124"/>
    <mergeCell ref="X116:Y116"/>
    <mergeCell ref="Q117:R117"/>
    <mergeCell ref="E116:F116"/>
    <mergeCell ref="O117:P117"/>
    <mergeCell ref="A121:J121"/>
    <mergeCell ref="S119:T119"/>
    <mergeCell ref="X119:Y119"/>
    <mergeCell ref="V119:W119"/>
    <mergeCell ref="O119:P119"/>
    <mergeCell ref="Q116:R116"/>
    <mergeCell ref="V117:W117"/>
    <mergeCell ref="S116:T116"/>
    <mergeCell ref="J117:K117"/>
    <mergeCell ref="B116:D116"/>
    <mergeCell ref="X117:Y117"/>
    <mergeCell ref="J116:K116"/>
    <mergeCell ref="V129:AE129"/>
    <mergeCell ref="S117:T117"/>
    <mergeCell ref="V116:W116"/>
    <mergeCell ref="M117:N117"/>
    <mergeCell ref="O116:P116"/>
    <mergeCell ref="AC120:AE120"/>
    <mergeCell ref="AC119:AD119"/>
    <mergeCell ref="M116:N116"/>
    <mergeCell ref="AC116:AD116"/>
    <mergeCell ref="AC117:AD117"/>
    <mergeCell ref="X118:Y118"/>
    <mergeCell ref="AC118:AD118"/>
    <mergeCell ref="A6:AE6"/>
    <mergeCell ref="AE11:AE16"/>
    <mergeCell ref="E113:F115"/>
    <mergeCell ref="K107:M107"/>
    <mergeCell ref="M114:N115"/>
    <mergeCell ref="O114:P115"/>
    <mergeCell ref="Q115:R115"/>
    <mergeCell ref="AE89:AE90"/>
    <mergeCell ref="AA89:AA90"/>
    <mergeCell ref="A97:K97"/>
    <mergeCell ref="B113:D115"/>
    <mergeCell ref="A105:C105"/>
    <mergeCell ref="A111:AE111"/>
    <mergeCell ref="C112:E112"/>
    <mergeCell ref="V103:AE103"/>
    <mergeCell ref="A110:AE110"/>
    <mergeCell ref="G113:I115"/>
    <mergeCell ref="AC104:AE104"/>
    <mergeCell ref="K105:O105"/>
    <mergeCell ref="J113:K115"/>
    <mergeCell ref="Z114:Z115"/>
    <mergeCell ref="L113:L115"/>
    <mergeCell ref="V114:W115"/>
    <mergeCell ref="Q114:T114"/>
    <mergeCell ref="A95:C95"/>
    <mergeCell ref="A96:B96"/>
    <mergeCell ref="A87:F88"/>
    <mergeCell ref="AA11:AC16"/>
    <mergeCell ref="AA17:AC17"/>
    <mergeCell ref="AA18:AC18"/>
    <mergeCell ref="X114:Y115"/>
    <mergeCell ref="S115:T115"/>
    <mergeCell ref="U114:U115"/>
    <mergeCell ref="Z89:Z90"/>
    <mergeCell ref="AC91:AE91"/>
    <mergeCell ref="P89:Q90"/>
    <mergeCell ref="R81:U82"/>
    <mergeCell ref="P87:Q88"/>
    <mergeCell ref="A94:J94"/>
    <mergeCell ref="A93:C93"/>
    <mergeCell ref="H93:J93"/>
    <mergeCell ref="G88:H88"/>
    <mergeCell ref="AC87:AD87"/>
    <mergeCell ref="AC88:AD88"/>
    <mergeCell ref="A113:A115"/>
    <mergeCell ref="AC113:AD115"/>
    <mergeCell ref="AE85:AE86"/>
    <mergeCell ref="AE81:AE82"/>
    <mergeCell ref="BF113:BF115"/>
    <mergeCell ref="AE87:AE88"/>
    <mergeCell ref="R88:U88"/>
    <mergeCell ref="V88:W88"/>
    <mergeCell ref="AE113:AE115"/>
    <mergeCell ref="L104:O104"/>
    <mergeCell ref="N87:O87"/>
    <mergeCell ref="N88:O88"/>
    <mergeCell ref="G39:H40"/>
    <mergeCell ref="N89:O89"/>
    <mergeCell ref="H112:Y112"/>
    <mergeCell ref="R87:U87"/>
    <mergeCell ref="V87:W87"/>
    <mergeCell ref="A109:AE109"/>
    <mergeCell ref="AC89:AD90"/>
    <mergeCell ref="AB89:AB90"/>
    <mergeCell ref="G87:H87"/>
    <mergeCell ref="N91:O91"/>
    <mergeCell ref="N85:O85"/>
    <mergeCell ref="P85:Q86"/>
    <mergeCell ref="R85:U85"/>
    <mergeCell ref="V85:W85"/>
    <mergeCell ref="R86:U86"/>
    <mergeCell ref="V86:W86"/>
    <mergeCell ref="B118:D118"/>
    <mergeCell ref="E118:F118"/>
    <mergeCell ref="G118:H118"/>
    <mergeCell ref="J118:K118"/>
    <mergeCell ref="M118:N118"/>
    <mergeCell ref="O118:P118"/>
    <mergeCell ref="Q118:R118"/>
    <mergeCell ref="S118:T118"/>
    <mergeCell ref="V118:W118"/>
  </mergeCells>
  <phoneticPr fontId="32" type="noConversion"/>
  <conditionalFormatting sqref="C9 AB3:AE3 H7:H8 H5 A53:C53 A52:Q52 A51:C51 A50:Q50 M51:Q51 M53:Q53 T52:AE52 T53:V53 AA53:AE53">
    <cfRule type="expression" dxfId="19" priority="572" stopIfTrue="1">
      <formula>NOT(A3&lt;&gt;"")</formula>
    </cfRule>
  </conditionalFormatting>
  <conditionalFormatting sqref="S142:S144">
    <cfRule type="expression" dxfId="18" priority="550" stopIfTrue="1">
      <formula>AND(NOT($S142&lt;&gt;""),NOT($F142=""),NOT($X142=""))</formula>
    </cfRule>
  </conditionalFormatting>
  <conditionalFormatting sqref="D5:F5">
    <cfRule type="expression" dxfId="17" priority="583" stopIfTrue="1">
      <formula>OR(D5="Номер",D5="")</formula>
    </cfRule>
  </conditionalFormatting>
  <conditionalFormatting sqref="A5:C5">
    <cfRule type="expression" dxfId="16" priority="584" stopIfTrue="1">
      <formula>OR(A5="Дата",A5="")</formula>
    </cfRule>
  </conditionalFormatting>
  <conditionalFormatting sqref="U142:U145 X142:X145 AA142:AA145 AC142:AC145">
    <cfRule type="expression" dxfId="15" priority="534" stopIfTrue="1">
      <formula>($AC142-$AA142-$U142-$X142)&lt;-1</formula>
    </cfRule>
  </conditionalFormatting>
  <conditionalFormatting sqref="L116:L117">
    <cfRule type="expression" dxfId="14" priority="504" stopIfTrue="1">
      <formula>AND($L116="",SUM($M116:$Z116)&lt;&gt;0)</formula>
    </cfRule>
  </conditionalFormatting>
  <conditionalFormatting sqref="S116:S118">
    <cfRule type="expression" dxfId="13" priority="502" stopIfTrue="1">
      <formula>AND($L116&lt;&gt;"",$S116&gt;0,$L116&lt;DATE(YEAR($A$5),MONTH($A$5),1))</formula>
    </cfRule>
  </conditionalFormatting>
  <conditionalFormatting sqref="M119 O119 Q119 S119 U119:V119 X119 Z119 AB119:AC119">
    <cfRule type="expression" dxfId="12" priority="535" stopIfTrue="1">
      <formula>$AF$119=0</formula>
    </cfRule>
  </conditionalFormatting>
  <conditionalFormatting sqref="H27:H33 L27:L33">
    <cfRule type="cellIs" dxfId="11" priority="486" stopIfTrue="1" operator="lessThan">
      <formula>0</formula>
    </cfRule>
  </conditionalFormatting>
  <conditionalFormatting sqref="X89">
    <cfRule type="expression" dxfId="10" priority="485" stopIfTrue="1">
      <formula>(((I66+I68+I70+I76+I78+I80+I82+I84+I86+I88+I90+X66+X68+X70+X72+X74+X76+X78+X80+X82+X86+X88)&gt;0)+(I67=0))=2</formula>
    </cfRule>
  </conditionalFormatting>
  <conditionalFormatting sqref="Y89">
    <cfRule type="expression" dxfId="9" priority="484" stopIfTrue="1">
      <formula>(((J66+J68+J70+J76+J78+J80+J82+J84+J86+J88+J90+Y66+Y68+Y70+Y72+Y74+Y76+Y78+Y80+Y82+Y86+Y88)&gt;0)+(J67=0))=2</formula>
    </cfRule>
  </conditionalFormatting>
  <conditionalFormatting sqref="Z89">
    <cfRule type="expression" dxfId="8" priority="483" stopIfTrue="1">
      <formula>(((K66+K68+K70+K76+K78+K80+K82+K84+K86+K88+K90+Z68+Z70+Z72+Z74+Z76+Z78+Z80+Z82+Z86+Z88)&gt;0)+(K67=0))=2</formula>
    </cfRule>
  </conditionalFormatting>
  <conditionalFormatting sqref="AA89">
    <cfRule type="expression" dxfId="7" priority="482" stopIfTrue="1">
      <formula>(((L66+L68+L70+L76+L78+L80+L82+L84+L86+L88+L90+AA68+AA70+AA72+AA74+AA76+AA78+AA80+AA82+AA86+AA88)&gt;0)+(L67=0))=2</formula>
    </cfRule>
  </conditionalFormatting>
  <conditionalFormatting sqref="AB89">
    <cfRule type="expression" dxfId="6" priority="481" stopIfTrue="1">
      <formula>(((M68+M72+M74+M76+M88+AB76+AB78+AB80+AB82+AB86+AB88)&gt;0)+(M67=0))=2</formula>
    </cfRule>
  </conditionalFormatting>
  <conditionalFormatting sqref="AC89">
    <cfRule type="expression" dxfId="5" priority="480" stopIfTrue="1">
      <formula>(((N68+N76+N88+AC68+AC76+AC78+AC80+AC82+AC86+AC88)&gt;0)+(N67=0))=2</formula>
    </cfRule>
  </conditionalFormatting>
  <conditionalFormatting sqref="I116:I117">
    <cfRule type="expression" dxfId="4" priority="478" stopIfTrue="1">
      <formula>NOT(I116&lt;&gt;"")</formula>
    </cfRule>
  </conditionalFormatting>
  <conditionalFormatting sqref="L142:L144">
    <cfRule type="expression" dxfId="3" priority="477" stopIfTrue="1">
      <formula>NOT(L142&lt;&gt;"")</formula>
    </cfRule>
  </conditionalFormatting>
  <conditionalFormatting sqref="L118">
    <cfRule type="expression" dxfId="2" priority="11" stopIfTrue="1">
      <formula>AND($L118="",SUM($M118:$Z118)&lt;&gt;0)</formula>
    </cfRule>
  </conditionalFormatting>
  <conditionalFormatting sqref="I118">
    <cfRule type="expression" dxfId="1" priority="9" stopIfTrue="1">
      <formula>NOT(I118&lt;&gt;"")</formula>
    </cfRule>
  </conditionalFormatting>
  <conditionalFormatting sqref="M116:M118 O116:O118 Q116:Q118 S116:S118 U116:V118 X116:X118 Z116:Z118 AB116:AC118">
    <cfRule type="expression" dxfId="0" priority="596" stopIfTrue="1">
      <formula>(($AC116*IF($AG116=1,0,1)+$AE116*$AG116)-$AB116-$Z116-$X116-$V116-$U116-$S116-$Q116-$O116-$M116-$AA116)&lt;-1</formula>
    </cfRule>
  </conditionalFormatting>
  <dataValidations xWindow="68" yWindow="312" count="46">
    <dataValidation allowBlank="1" showInputMessage="1" showErrorMessage="1" promptTitle="Посада керівника" prompt="Командир (керівник) військової частини А_______" sqref="A50:Q50" xr:uid="{00000000-0002-0000-0100-000000000000}"/>
    <dataValidation allowBlank="1" showInputMessage="1" showErrorMessage="1" promptTitle="Посада НФО" prompt="Начальник фінансового органу" sqref="A52:Q52" xr:uid="{00000000-0002-0000-0100-000001000000}"/>
    <dataValidation allowBlank="1" showInputMessage="1" showErrorMessage="1" promptTitle="ПІБ керівника" prompt="Введіть ПІБ керівника" sqref="M51:Q51" xr:uid="{00000000-0002-0000-0100-000002000000}"/>
    <dataValidation allowBlank="1" showInputMessage="1" showErrorMessage="1" promptTitle="ПІБ НФО" prompt="Введіть ПІБ НФО" sqref="M53:Q53" xr:uid="{00000000-0002-0000-0100-000003000000}"/>
    <dataValidation allowBlank="1" showInputMessage="1" showErrorMessage="1" promptTitle="Посада особи з обліку о/с" prompt="Посада особи, відповідальної за облік особового складу" sqref="T52:AE52" xr:uid="{00000000-0002-0000-0100-000004000000}"/>
    <dataValidation allowBlank="1" showInputMessage="1" showErrorMessage="1" promptTitle="ПІБ особи з обліку о/с" prompt="ПІБ особи з обліку о/с" sqref="AA53:AE53" xr:uid="{00000000-0002-0000-0100-000005000000}"/>
    <dataValidation type="date" allowBlank="1" showInputMessage="1" showErrorMessage="1" sqref="Q142:R144" xr:uid="{00000000-0002-0000-0100-000006000000}">
      <formula1>1</formula1>
      <formula2>401769</formula2>
    </dataValidation>
    <dataValidation type="whole" operator="greaterThan" allowBlank="1" showInputMessage="1" showErrorMessage="1" errorTitle="Тільки цілі числа!" error="Необхідно вводити тільки цілі числа (без десятих)" sqref="B27:G32 J27:K32" xr:uid="{00000000-0002-0000-0100-000007000000}">
      <formula1>0</formula1>
    </dataValidation>
    <dataValidation type="date" allowBlank="1" showInputMessage="1" showErrorMessage="1" promptTitle="Обов'язково введіть дату!" prompt="Дата виключення (звільнення, переведення) або орієнтовна дата події." sqref="L116:L118" xr:uid="{00000000-0002-0000-0100-000008000000}">
      <formula1>1</formula1>
      <formula2>401769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одного військовослужбовця (без копійок)" sqref="U142:W144" xr:uid="{00000000-0002-0000-0100-000009000000}">
      <formula1>0</formula1>
      <formula2>70000</formula2>
    </dataValidation>
    <dataValidation type="whole" allowBlank="1" showInputMessage="1" showErrorMessage="1" errorTitle="Неправильно!" error="Перевищення максимального розміру або введіть значення без копійок!" promptTitle="Розмір (без компенсації ПДФО) " prompt="на всіх членів сімї однією сумою (без копійок)" sqref="X142:Z144" xr:uid="{00000000-0002-0000-0100-00000A000000}">
      <formula1>0</formula1>
      <formula2>300000</formula2>
    </dataValidation>
    <dataValidation type="textLength" allowBlank="1" showInputMessage="1" showErrorMessage="1" errorTitle="Невірно! " error="Введіть правильний ідентифікацій код особи!" promptTitle="Ідентифікацій код" prompt="Введіть ідентифікацій код особи" sqref="I116:I118" xr:uid="{00000000-0002-0000-0100-00000B000000}">
      <formula1>10</formula1>
      <formula2>10</formula2>
    </dataValidation>
    <dataValidation type="textLength" allowBlank="1" showInputMessage="1" showErrorMessage="1" errorTitle="Неправильно!" error="Введіть правильний ідентифікаційний код" promptTitle="Ідентифікаційний код" prompt="Введіть ідентифікаційний код" sqref="L142:L144" xr:uid="{00000000-0002-0000-0100-00000C000000}">
      <formula1>10</formula1>
      <formula2>10</formula2>
    </dataValidation>
    <dataValidation allowBlank="1" showInputMessage="1" showErrorMessage="1" promptTitle="Дані вводяться через форму" prompt="Для редагування двічі клікнути або кнопка &quot;Премія&quot; праворуч" sqref="AA35:AE35" xr:uid="{00000000-0002-0000-0100-00000D000000}"/>
    <dataValidation allowBlank="1" showInputMessage="1" showErrorMessage="1" promptTitle="Дані вводяться через форму" prompt="Для редагування двічі клікнути або кнопка &quot;Ввести або змінити початкові дані&quot; " sqref="C9:G9 A5:F5 H7:Z8 H5:Z5 AB3:AE3" xr:uid="{00000000-0002-0000-0100-00000E000000}"/>
    <dataValidation allowBlank="1" showInputMessage="1" showErrorMessage="1" prompt="Для редагування двічі клікнути або кнопка &quot;16. Підвищ-ня ...&quot; праворуч" sqref="AA43:AE43" xr:uid="{00000000-0002-0000-0100-00000F000000}"/>
    <dataValidation type="list" showInputMessage="1" showErrorMessage="1" sqref="F142:H144 E116:F118" xr:uid="{00000000-0002-0000-0100-000010000000}">
      <formula1>$A$193:$A$239</formula1>
    </dataValidation>
    <dataValidation type="list" showInputMessage="1" showErrorMessage="1" promptTitle="Військове звання" prompt="Виберіть військове звання зі списку" sqref="T53:V53 A53:C53 A51:C51" xr:uid="{00000000-0002-0000-0100-000011000000}">
      <formula1>$A$193:$A$239</formula1>
    </dataValidation>
    <dataValidation allowBlank="1" showInputMessage="1" showErrorMessage="1" promptTitle="Данні вводяться через форму" prompt="Для редагування двічі клікнути або кнопка &quot;МД&quot; праворуч" sqref="AA26:AE26" xr:uid="{00000000-0002-0000-0100-000015000000}"/>
    <dataValidation allowBlank="1" showInputMessage="1" showErrorMessage="1" promptTitle="Данні вводяться через форму" prompt="Для редагування двічі клікнути або кнопка &quot;Залишки&quot; праворуч" sqref="C17:F18 G17:H17" xr:uid="{00000000-0002-0000-0100-000016000000}"/>
    <dataValidation type="decimal" operator="greaterThan" allowBlank="1" showInputMessage="1" showErrorMessage="1" errorTitle="Помилка" error="Введіть число більше нуля" sqref="O27:R30 AA23:AC25 AA27:AC34 AA36:AC38 AA48:AC48 C42:C47 E42:E47" xr:uid="{00000000-0002-0000-0100-000017000000}">
      <formula1>0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8" xr:uid="{00000000-0002-0000-0100-000018000000}">
      <formula1>AND($L$67&gt;0,L68&gt;0)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8" xr:uid="{00000000-0002-0000-0100-000019000000}">
      <formula1>AND($K$67&gt;0,K68&gt;0)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8" xr:uid="{00000000-0002-0000-0100-00001A000000}">
      <formula1>AND($J$67&gt;0,J68&gt;0)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M68" xr:uid="{00000000-0002-0000-0100-00001B000000}">
      <formula1>AND($M$67&gt;0,M68&gt;0)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N68:O68" xr:uid="{00000000-0002-0000-0100-00001C000000}">
      <formula1>AND($N$67&gt;0,N68&gt;0)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6" xr:uid="{00000000-0002-0000-0100-00001D000000}">
      <formula1>AND($I$65&gt;0,I66&gt;0)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J66" xr:uid="{00000000-0002-0000-0100-00001E000000}">
      <formula1>AND($J$65&gt;0,J66&gt;0)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K66" xr:uid="{00000000-0002-0000-0100-00001F000000}">
      <formula1>AND($K$65&gt;0,K66&gt;0)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L66" xr:uid="{00000000-0002-0000-0100-000020000000}">
      <formula1>AND($L$65&gt;0,L66&gt;0)</formula1>
    </dataValidation>
    <dataValidation type="custom" allowBlank="1" showInputMessage="1" showErrorMessage="1" errorTitle="Помилка" error="Введіть число більше нуля або  заповніть інформацію про чисельність військовослужбовців, які отримують посадові оклади." sqref="I68" xr:uid="{00000000-0002-0000-0100-000021000000}">
      <formula1>AND($I$67&gt;0,I68&gt;0)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I76 I70 I78 I80 I82 I84 I86 I88 I90 X88 X76 X78 X80 X82 X84 X86 X68 X70 X72 X74 X66" xr:uid="{00000000-0002-0000-0100-000022000000}">
      <formula1>AND($I$67&gt;0,I66&gt;0,NOT(OR(I65=0,I65="")))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I75 I69 I77 I79 I81 I83 I85 I87 I89 X87 X75 X77 X79 X81 X83 X85 X67 X69 X71 X73 X65" xr:uid="{00000000-0002-0000-0100-000023000000}">
      <formula1>AND($I$67&gt;0,I65&gt;0,$I$67&gt;=I65)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J75 J69 J77 J79 J81 J83 J85 J87 J89 Y87 Y75 Y77 Y79 Y81 Y83 Y85 Y67 Y69 Y71 Y73 Y65" xr:uid="{00000000-0002-0000-0100-000024000000}">
      <formula1>AND($J$67&gt;0,J65&gt;0,$J$67&gt;=J65)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J76 J70 J78 J80 J82 J84 J86 J88 J90 Y88 Y76 Y78 Y80 Y82 Y84 Y86 Y68 Y70 Y72 Y74 Y66" xr:uid="{00000000-0002-0000-0100-000025000000}">
      <formula1>AND($J$67&gt;0,J66&gt;0,NOT(OR(J65=0,J65="")))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K75 K69 K77 K79 K81 K83 K85 K87 K89 Z87 Z75 Z77 Z79 Z81 Z83 Z85 Z67 Z69 Z71 Z73" xr:uid="{00000000-0002-0000-0100-000026000000}">
      <formula1>AND($K$67&gt;0,K67&gt;0,$K$67&gt;=K67)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K76 K70 K78 K80 K82 K84 K86 K88 K90 Z88 Z76 Z78 Z80 Z82 Z84 Z86 Z68 Z70 Z72 Z74" xr:uid="{00000000-0002-0000-0100-000027000000}">
      <formula1>AND($K$67&gt;0,K68&gt;0,NOT(OR(K67=0,K67="")))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L75 L73 L69 L77 L79 L81 L83 L85 L87 L89 AA87 AA75 AA77 AA79 AA81 AA83 AA85 AA67 AA69 AA71 AA73" xr:uid="{00000000-0002-0000-0100-000028000000}">
      <formula1>AND($L$67&gt;0,L67&gt;0,$L$67&gt;=L67)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L76 L74 L70 L78 L80 L82 L84 L86 L88 L90 AA88 AA76 AA78 AA80 AA82 AA84 AA86 AA68 AA70 AA72 AA74" xr:uid="{00000000-0002-0000-0100-000029000000}">
      <formula1>AND($L$67&gt;0,L68&gt;0,NOT(OR(L67=0,L67="")))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M75 M73 M71 M87 AB87 AB75 AB77 AB79 AB81 AB83 AB85" xr:uid="{00000000-0002-0000-0100-00002A000000}">
      <formula1>AND($M$67&gt;0,M71&gt;0,$M$67&gt;=M71)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M76 M74 M72 M88 AB88 AB76 AB78 AB80 AB82 AB84 AB86" xr:uid="{00000000-0002-0000-0100-00002B000000}">
      <formula1>AND($M$67&gt;0,M72&gt;0,NOT(OR(M71=0,M71="")))</formula1>
    </dataValidation>
    <dataValidation type="custom" allowBlank="1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чисельність в/сц-ів, які отримують цю виплату, не може перевищувати кількості посадових окладів." sqref="N75 N73 N87 AC87 AC75 AC77 AC79 AC81 AC83 AC85 AC67" xr:uid="{00000000-0002-0000-0100-00002C000000}">
      <formula1>AND($N$67&gt;0,N67&gt;0,$N$67&gt;=N67)</formula1>
    </dataValidation>
    <dataValidation type="custom" showInputMessage="1" showErrorMessage="1" errorTitle="Помилка" error="1) введіть число більше нуля;_x000a_2) та (або)  заповніть інформацію про чисельність в/с-ців, які отримують посадові оклади;_x000a_3) та (або) заповніть інформацію про чисельність в/сц-ів, які отримують цю виплату." sqref="N76 N74 N88 AC88 AC76 AC78 AC80 AC82 AC84 AC86 AC68" xr:uid="{00000000-0002-0000-0100-00002D000000}">
      <formula1>AND($N$67&gt;0,N68&gt;0,NOT(OR(N67=0,N67="")))</formula1>
    </dataValidation>
    <dataValidation type="custom" allowBlank="1" showInputMessage="1" showErrorMessage="1" errorTitle="Неправильно!" error="Військовослужбовці строкової служби не отримують цю виплату!" sqref="U116:Y118 O116:P118" xr:uid="{00000000-0002-0000-0100-000012000000}">
      <formula1>NOT($E116="в/с строк. служби")</formula1>
    </dataValidation>
    <dataValidation type="custom" allowBlank="1" showInputMessage="1" showErrorMessage="1" errorTitle="Неправильно!" error="Тільки для &quot;в/с строк. служби&quot;" sqref="M116:N118" xr:uid="{00000000-0002-0000-0100-000013000000}">
      <formula1>NOT($E116&lt;&gt;"в/с строк. служби")</formula1>
    </dataValidation>
    <dataValidation type="custom" allowBlank="1" showInputMessage="1" showErrorMessage="1" errorTitle="Неправильно!" error="Військовослужбовець не набув право на грошове забезпечення поточного місяця." promptTitle="ГЗ тільки за поточний місяць!" prompt="Поточний місяць це місяць зазначений на початку Заявки. Наприклад &quot;на листопад 2018 року&quot;." sqref="S116:T118" xr:uid="{00000000-0002-0000-0100-000014000000}">
      <formula1>(L116&gt;DATE(YEAR($A$5),MONTH($A$5),1))</formula1>
    </dataValidation>
  </dataValidations>
  <pageMargins left="0.51181102362204722" right="0.35433070866141736" top="0.39370078740157483" bottom="0.19685039370078741" header="0" footer="0"/>
  <pageSetup paperSize="9" scale="39" fitToHeight="0" orientation="landscape" r:id="rId1"/>
  <rowBreaks count="3" manualBreakCount="3">
    <brk id="54" max="16383" man="1"/>
    <brk id="100" max="16383" man="1"/>
    <brk id="12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AddRow">
                <anchor moveWithCells="1" sizeWithCells="1">
                  <from>
                    <xdr:col>0</xdr:col>
                    <xdr:colOff>66675</xdr:colOff>
                    <xdr:row>119</xdr:row>
                    <xdr:rowOff>85725</xdr:rowOff>
                  </from>
                  <to>
                    <xdr:col>3</xdr:col>
                    <xdr:colOff>571500</xdr:colOff>
                    <xdr:row>119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Button 3">
              <controlPr defaultSize="0" print="0" autoFill="0" autoPict="0" macro="[0]!AddRow1">
                <anchor moveWithCells="1" sizeWithCells="1">
                  <from>
                    <xdr:col>0</xdr:col>
                    <xdr:colOff>104775</xdr:colOff>
                    <xdr:row>145</xdr:row>
                    <xdr:rowOff>66675</xdr:rowOff>
                  </from>
                  <to>
                    <xdr:col>3</xdr:col>
                    <xdr:colOff>609600</xdr:colOff>
                    <xdr:row>145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6" name="Button 266">
              <controlPr defaultSize="0" print="0" autoFill="0" autoPict="0" macro="[0]!Кнопка_Записать_переписать_початк_дан">
                <anchor>
                  <from>
                    <xdr:col>0</xdr:col>
                    <xdr:colOff>123825</xdr:colOff>
                    <xdr:row>0</xdr:row>
                    <xdr:rowOff>104775</xdr:rowOff>
                  </from>
                  <to>
                    <xdr:col>11</xdr:col>
                    <xdr:colOff>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1" r:id="rId7" name="Button 275">
              <controlPr defaultSize="0" print="0" autoFill="0" autoPict="0" macro="[0]!StartPidvyshOOSForm">
                <anchor>
                  <from>
                    <xdr:col>31</xdr:col>
                    <xdr:colOff>895350</xdr:colOff>
                    <xdr:row>38</xdr:row>
                    <xdr:rowOff>438150</xdr:rowOff>
                  </from>
                  <to>
                    <xdr:col>45</xdr:col>
                    <xdr:colOff>38100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75" r:id="rId8" name="Button 279">
              <controlPr defaultSize="0" print="0" autoFill="0" autoPict="0" macro="[0]!StartPremForm">
                <anchor>
                  <from>
                    <xdr:col>32</xdr:col>
                    <xdr:colOff>438150</xdr:colOff>
                    <xdr:row>29</xdr:row>
                    <xdr:rowOff>257175</xdr:rowOff>
                  </from>
                  <to>
                    <xdr:col>39</xdr:col>
                    <xdr:colOff>238125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0" r:id="rId9" name="Button 294">
              <controlPr defaultSize="0" print="0" autoFill="0" autoPict="0" macro="[0]!StartMDForm">
                <anchor>
                  <from>
                    <xdr:col>34</xdr:col>
                    <xdr:colOff>381000</xdr:colOff>
                    <xdr:row>22</xdr:row>
                    <xdr:rowOff>47625</xdr:rowOff>
                  </from>
                  <to>
                    <xdr:col>40</xdr:col>
                    <xdr:colOff>466725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7" r:id="rId10" name="Button 301">
              <controlPr defaultSize="0" print="0" autoFill="0" autoPict="0" macro="[0]!StartZalyshokForm">
                <anchor>
                  <from>
                    <xdr:col>34</xdr:col>
                    <xdr:colOff>352425</xdr:colOff>
                    <xdr:row>11</xdr:row>
                    <xdr:rowOff>47625</xdr:rowOff>
                  </from>
                  <to>
                    <xdr:col>41</xdr:col>
                    <xdr:colOff>180975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98" r:id="rId11" name="Button 302">
              <controlPr defaultSize="0" print="0" autoFill="0" autoPict="0" macro="[0]!GetVersionZayvky">
                <anchor moveWithCells="1" sizeWithCells="1">
                  <from>
                    <xdr:col>31</xdr:col>
                    <xdr:colOff>1114425</xdr:colOff>
                    <xdr:row>52</xdr:row>
                    <xdr:rowOff>114300</xdr:rowOff>
                  </from>
                  <to>
                    <xdr:col>34</xdr:col>
                    <xdr:colOff>428625</xdr:colOff>
                    <xdr:row>53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12</vt:i4>
      </vt:variant>
    </vt:vector>
  </HeadingPairs>
  <TitlesOfParts>
    <vt:vector size="13" baseType="lpstr">
      <vt:lpstr>Начало</vt:lpstr>
      <vt:lpstr>Заявка!Anch_1</vt:lpstr>
      <vt:lpstr>Заявка!Anch_2</vt:lpstr>
      <vt:lpstr>Заявка!Anch_3</vt:lpstr>
      <vt:lpstr>Заявка!Anch_4</vt:lpstr>
      <vt:lpstr>Dovidka_1st_row</vt:lpstr>
      <vt:lpstr>ListVud_vutrat_2800_start</vt:lpstr>
      <vt:lpstr>ListVudDoc_start</vt:lpstr>
      <vt:lpstr>ListVZ_start</vt:lpstr>
      <vt:lpstr>VerZayvka</vt:lpstr>
      <vt:lpstr>Заявка!НазваЛиста</vt:lpstr>
      <vt:lpstr>Заявка!Область_печати</vt:lpstr>
      <vt:lpstr>Начало!Область_печати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УВАГА!!! Файл збережено з новою назвою</dc:title>
  <dc:creator>User</dc:creator>
  <cp:lastModifiedBy>Козак Артем Євгенійович</cp:lastModifiedBy>
  <cp:lastPrinted>2023-02-20T16:09:48Z</cp:lastPrinted>
  <dcterms:created xsi:type="dcterms:W3CDTF">2008-05-06T05:01:04Z</dcterms:created>
  <dcterms:modified xsi:type="dcterms:W3CDTF">2023-05-15T14:12:33Z</dcterms:modified>
</cp:coreProperties>
</file>